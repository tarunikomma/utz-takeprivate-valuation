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eal &amp; Inputs" sheetId="2" state="visible" r:id="rId4"/>
    <sheet name="DCF" sheetId="3" state="visible" r:id="rId5"/>
    <sheet name="Trading Comps" sheetId="4" state="visible" r:id="rId6"/>
    <sheet name="Precedent Transactions" sheetId="5" state="visible" r:id="rId7"/>
    <sheet name="Football Field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<sst xmlns="http://schemas.openxmlformats.org/spreadsheetml/2006/main" count="331" uniqueCount="285">
  <si>
    <t xml:space="preserve">Utz Brands — Was Intersnack's $14.25 Offer Fair to Public Shareholders?</t>
  </si>
  <si>
    <t xml:space="preserve">Independent valuation by Taruni Komma | Deal announced July 20, 2026 | Portfolio exercise from public filings, not investment advice</t>
  </si>
  <si>
    <t xml:space="preserve">KEY OUTPUTS (live)</t>
  </si>
  <si>
    <t xml:space="preserve">Offer price per share</t>
  </si>
  <si>
    <t xml:space="preserve">Enterprise value at offer ($mm)</t>
  </si>
  <si>
    <t xml:space="preserve">EV / LTM adjusted EBITDA</t>
  </si>
  <si>
    <t xml:space="preserve">Premium to unaffected price</t>
  </si>
  <si>
    <t xml:space="preserve">DCF value — selected case (midpoint)</t>
  </si>
  <si>
    <t xml:space="preserve">Trading comparables range</t>
  </si>
  <si>
    <t xml:space="preserve">Precedent transactions range</t>
  </si>
  <si>
    <t xml:space="preserve">WORKBOOK</t>
  </si>
  <si>
    <t xml:space="preserve">• Deal &amp; Inputs — offer, premiums, capitalization, implied deal multiples, offer history</t>
  </si>
  <si>
    <t xml:space="preserve">• DCF — management projections, downside case selector, WACC build, sensitivity</t>
  </si>
  <si>
    <t xml:space="preserve">• Trading Comps — Citi's mid-cap food peer set plus large-cap snack reference</t>
  </si>
  <si>
    <t xml:space="preserve">• Precedent Transactions — five snack/food deals with disclosed or calculated multiples</t>
  </si>
  <si>
    <t xml:space="preserve">• Football Field — all ranges vs. the offer and vs. the special committee advisor's ranges</t>
  </si>
  <si>
    <t xml:space="preserve">• Sources — every filing and data page used</t>
  </si>
  <si>
    <t xml:space="preserve">Utz Brands (UTZ) — Intersnack Take-Private: Deal Terms and Key Inputs</t>
  </si>
  <si>
    <t xml:space="preserve">$ in millions except per share. Blue = sourced input or assumption. Valuation date: June 28, 2026 (last balance sheet before announcement).</t>
  </si>
  <si>
    <t xml:space="preserve">OFFER</t>
  </si>
  <si>
    <t xml:space="preserve">Offer price per share (cash)</t>
  </si>
  <si>
    <t xml:space="preserve">Announced July 20, 2026 (Utz/Intersnack release)</t>
  </si>
  <si>
    <t xml:space="preserve">Unaffected share price (July 20, 2026 close)</t>
  </si>
  <si>
    <t xml:space="preserve">Implied by stated ~91% premium; matches proxy summary</t>
  </si>
  <si>
    <t xml:space="preserve">30-day VWAP before announcement</t>
  </si>
  <si>
    <t xml:space="preserve">Proxy summary (For Fairness Sake)</t>
  </si>
  <si>
    <t xml:space="preserve">90-day VWAP before announcement</t>
  </si>
  <si>
    <t xml:space="preserve">52-week high (July 23, 2025)</t>
  </si>
  <si>
    <t xml:space="preserve">Citi special committee materials, Apr 17, 2026 (13E-3 exhibit)</t>
  </si>
  <si>
    <t xml:space="preserve">52-week low (March 25, 2026)</t>
  </si>
  <si>
    <t xml:space="preserve">CAPITALIZATION (June 28, 2026)</t>
  </si>
  <si>
    <t xml:space="preserve">Fully diluted shares (mm)</t>
  </si>
  <si>
    <t xml:space="preserve">Citi DCF share count incl. options and RSUs (13E-3 exhibit, Mar 31, 2026)</t>
  </si>
  <si>
    <t xml:space="preserve">Gross debt incl. finance leases</t>
  </si>
  <si>
    <t xml:space="preserve">Q2 2026 earnings release</t>
  </si>
  <si>
    <t xml:space="preserve">Cash and equivalents</t>
  </si>
  <si>
    <t xml:space="preserve">Net debt</t>
  </si>
  <si>
    <t xml:space="preserve">Company-reported net debt $791.0mm</t>
  </si>
  <si>
    <t xml:space="preserve">ADJUSTED EBITDA</t>
  </si>
  <si>
    <t xml:space="preserve">LTM adjusted EBITDA (June 28, 2026)</t>
  </si>
  <si>
    <t xml:space="preserve">Q2 2026 earnings release (net leverage 3.5x)</t>
  </si>
  <si>
    <t xml:space="preserve">FY2025 adjusted EBITDA</t>
  </si>
  <si>
    <t xml:space="preserve">Q4 2025 earnings release</t>
  </si>
  <si>
    <t xml:space="preserve">2026 plan (AOP) adjusted EBITDA</t>
  </si>
  <si>
    <t xml:space="preserve">Management projections in Citi materials (13E-3 exhibit)</t>
  </si>
  <si>
    <t xml:space="preserve">2027E adjusted EBITDA</t>
  </si>
  <si>
    <t xml:space="preserve">IMPLIED DEAL VALUE</t>
  </si>
  <si>
    <t xml:space="preserve">Equity value at offer</t>
  </si>
  <si>
    <t xml:space="preserve">Enterprise value at offer</t>
  </si>
  <si>
    <t xml:space="preserve">Company stated ~ $2.9bn</t>
  </si>
  <si>
    <t xml:space="preserve">EV / 2026 plan adjusted EBITDA</t>
  </si>
  <si>
    <t xml:space="preserve">EV / 2027E adjusted EBITDA</t>
  </si>
  <si>
    <t xml:space="preserve">Premium to 30-day VWAP</t>
  </si>
  <si>
    <t xml:space="preserve">Premium to 90-day VWAP</t>
  </si>
  <si>
    <t xml:space="preserve">Premium / (discount) to 52-week high</t>
  </si>
  <si>
    <t xml:space="preserve">OFFER HISTORY (Intersnack proposals)</t>
  </si>
  <si>
    <t xml:space="preserve">Date</t>
  </si>
  <si>
    <t xml:space="preserve">Price per share</t>
  </si>
  <si>
    <t xml:space="preserve">Premium to $7.46</t>
  </si>
  <si>
    <t xml:space="preserve">Mar 18, 2026</t>
  </si>
  <si>
    <t xml:space="preserve">Apr 2, 2026</t>
  </si>
  <si>
    <t xml:space="preserve">Apr 16, 2026</t>
  </si>
  <si>
    <t xml:space="preserve">Apr 21, 2026</t>
  </si>
  <si>
    <t xml:space="preserve">Jun 16, 2026</t>
  </si>
  <si>
    <t xml:space="preserve">Jun 20, 2026 (agreed)</t>
  </si>
  <si>
    <t xml:space="preserve">Source: proxy summary (For Fairness Sake) and Citi materials. Each round raised the price; total increase 29.5% from the first proposal.</t>
  </si>
  <si>
    <t xml:space="preserve">DEAL STRUCTURE NOTES</t>
  </si>
  <si>
    <t xml:space="preserve">• Founding Rice and Lissette family rolls equity and owns 50% post-close with Intersnack; they agreed to vote ~42% of shares in favor.</t>
  </si>
  <si>
    <t xml:space="preserve">• Approval requires a majority of all shares AND a majority of votes cast by unaffiliated (disinterested) holders.</t>
  </si>
  <si>
    <t xml:space="preserve">• Financing: ~$920mm Intersnack cash, new $1.1bn term loan, $250mm ABL. No go-shop; $50mm termination fee.</t>
  </si>
  <si>
    <t xml:space="preserve">• Special committee advisor: Citi (fairness opinion). Company advisor: RBC. Intersnack: BofA Securities.</t>
  </si>
  <si>
    <t xml:space="preserve">Discounted Cash Flow — Management Case and Downside Case</t>
  </si>
  <si>
    <t xml:space="preserve">Projections: management forecasts shown in Citi's special committee materials (13E-3 exhibit). Downside case: growth 1 pt lower and half of the planned margin expansion from 2027. Valuation date June 28, 2026; mid-year discounting.</t>
  </si>
  <si>
    <t xml:space="preserve">Case selector (1 = Management, 2 = Downside)</t>
  </si>
  <si>
    <t xml:space="preserve">($ in millions)</t>
  </si>
  <si>
    <t xml:space="preserve">2026 plan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</si>
  <si>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</si>
  <si>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</si>
  <si>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</si>
  <si>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</si>
  <si>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</si>
  <si>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Terminal</t>
  </si>
  <si>
    <t xml:space="preserve">MANAGEMENT INPUTS (as provided)</t>
  </si>
  <si>
    <t xml:space="preserve">Net sales</t>
  </si>
  <si>
    <t xml:space="preserve">Adjusted EBITDA</t>
  </si>
  <si>
    <t xml:space="preserve">D&amp;A</t>
  </si>
  <si>
    <t xml:space="preserve">Share-based compensation</t>
  </si>
  <si>
    <t xml:space="preserve">Restructuring &amp; transformation</t>
  </si>
  <si>
    <t xml:space="preserve">Proceeds from asset sales</t>
  </si>
  <si>
    <t xml:space="preserve">Tax rate</t>
  </si>
  <si>
    <t xml:space="preserve">PP&amp;E capex</t>
  </si>
  <si>
    <t xml:space="preserve">Cloud computing capex</t>
  </si>
  <si>
    <t xml:space="preserve">Increase in net working capital</t>
  </si>
  <si>
    <t xml:space="preserve">Terminal column: management normalized D&amp;A to the capex level; 2026 plan and 2030E are 53-week years.</t>
  </si>
  <si>
    <t xml:space="preserve">DOWNSIDE ADJUSTMENTS</t>
  </si>
  <si>
    <t xml:space="preserve">Reduction in annual sales growth (from 2027)</t>
  </si>
  <si>
    <t xml:space="preserve">Share of planned margin expansion achieved</t>
  </si>
  <si>
    <t xml:space="preserve">Management said in the proxy that it saw more downside than upside risk to its projections.</t>
  </si>
  <si>
    <t xml:space="preserve">UNLEVERED FREE CASH FLOW (selected case)</t>
  </si>
  <si>
    <t xml:space="preserve">  Adjusted EBITDA margin</t>
  </si>
  <si>
    <t xml:space="preserve">(–) D&amp;A</t>
  </si>
  <si>
    <t xml:space="preserve">(–) Share-based compensation</t>
  </si>
  <si>
    <t xml:space="preserve">(–) Restructuring &amp; transformation</t>
  </si>
  <si>
    <t xml:space="preserve">(+) Asset sale proceeds</t>
  </si>
  <si>
    <t xml:space="preserve">EBIT (cash-adjusted)</t>
  </si>
  <si>
    <t xml:space="preserve">(–) Taxes</t>
  </si>
  <si>
    <t xml:space="preserve">NOPAT</t>
  </si>
  <si>
    <t xml:space="preserve">(+) D&amp;A</t>
  </si>
  <si>
    <t xml:space="preserve">(–) PP&amp;E capex</t>
  </si>
  <si>
    <t xml:space="preserve">(–) Cloud capex</t>
  </si>
  <si>
    <t xml:space="preserve">(–) Increase in NWC</t>
  </si>
  <si>
    <t xml:space="preserve">Unlevered free cash flow</t>
  </si>
  <si>
    <t xml:space="preserve">Check: management case reproduces management's unlevered FCF of $105 / 116 / 131 / 144 / 162 / 173 and terminal $176mm (±$1 rounding).</t>
  </si>
  <si>
    <t xml:space="preserve">COST OF CAPITAL (as of announcement week)</t>
  </si>
  <si>
    <t xml:space="preserve">Risk-free rate (10-year Treasury, week of July 17, 2026)</t>
  </si>
  <si>
    <t xml:space="preserve">YCharts weekly 10-year Treasury rate</t>
  </si>
  <si>
    <t xml:space="preserve">Unlevered beta (food peer group)</t>
  </si>
  <si>
    <t xml:space="preserve">Citi special committee materials (13E-3 exhibit)</t>
  </si>
  <si>
    <t xml:space="preserve">Target debt / total capital</t>
  </si>
  <si>
    <t xml:space="preserve">Midpoint of Citi's 30%–40%</t>
  </si>
  <si>
    <t xml:space="preserve">Marginal tax rate</t>
  </si>
  <si>
    <t xml:space="preserve">Management projections</t>
  </si>
  <si>
    <t xml:space="preserve">Relevered beta (Hamada)</t>
  </si>
  <si>
    <t xml:space="preserve">Equity risk premium</t>
  </si>
  <si>
    <t xml:space="preserve">Assumption (Citi used 5.7%–6.7% with a 20-year rate)</t>
  </si>
  <si>
    <t xml:space="preserve">Cost of equity (CAPM)</t>
  </si>
  <si>
    <t xml:space="preserve">Pre-tax cost of debt</t>
  </si>
  <si>
    <t xml:space="preserve">Citi materials; consistent with SOFR + 325 bps term loan pricing</t>
  </si>
  <si>
    <t xml:space="preserve">After-tax cost of debt</t>
  </si>
  <si>
    <t xml:space="preserve">WACC</t>
  </si>
  <si>
    <t xml:space="preserve">Terminal growth rate</t>
  </si>
  <si>
    <t xml:space="preserve">Midpoint of 1.5%–2.5%</t>
  </si>
  <si>
    <t xml:space="preserve">VALUATION (valuation date June 28, 2026)</t>
  </si>
  <si>
    <t xml:space="preserve">H2 2026</t>
  </si>
  <si>
    <t xml:space="preserve">Unlevered FCF (H2 2026 = 50% of full year)</t>
  </si>
  <si>
    <t xml:space="preserve">Discount period (years, mid-period)</t>
  </si>
  <si>
    <t xml:space="preserve">Discount factor</t>
  </si>
  <si>
    <t xml:space="preserve">Present value</t>
  </si>
  <si>
    <t xml:space="preserve">Sum of PV of cash flows</t>
  </si>
  <si>
    <t xml:space="preserve">Terminal value (Gordon growth on terminal UFCF)</t>
  </si>
  <si>
    <t xml:space="preserve">PV of terminal value (5.5 years)</t>
  </si>
  <si>
    <t xml:space="preserve">Enterprise value</t>
  </si>
  <si>
    <t xml:space="preserve">Less: net debt (June 28, 2026)</t>
  </si>
  <si>
    <t xml:space="preserve">Equity value</t>
  </si>
  <si>
    <t xml:space="preserve">Implied value per share</t>
  </si>
  <si>
    <t xml:space="preserve">Offer price</t>
  </si>
  <si>
    <t xml:space="preserve">Offer premium / (discount) to DCF value</t>
  </si>
  <si>
    <t xml:space="preserve">Terminal value as % of enterprise value</t>
  </si>
  <si>
    <t xml:space="preserve">Implied EV / LTM adjusted EBITDA</t>
  </si>
  <si>
    <t xml:space="preserve">SENSITIVITY — VALUE PER SHARE (selected case)</t>
  </si>
  <si>
    <t xml:space="preserve">WACC (rows) × terminal growth (columns)</t>
  </si>
  <si>
    <t xml:space="preserve">Selected Public Companies — Mid-Cap Food (Citi's peer set) and Large-Cap Snack Reference</t>
  </si>
  <si>
    <t xml:space="preserve">Market data at close Oct 16, 2026 (StockAnalysis.com); EBITDA = trailing twelve months as reported by the data provider. Note: comparables are post-announcement prices; food stocks fell further after July 2026.</t>
  </si>
  <si>
    <t xml:space="preserve">Company</t>
  </si>
  <si>
    <t xml:space="preserve">Ticker</t>
  </si>
  <si>
    <t xml:space="preserve">Share price</t>
  </si>
  <si>
    <t xml:space="preserve">Market cap</t>
  </si>
  <si>
    <t xml:space="preserve">LTM revenue</t>
  </si>
  <si>
    <t xml:space="preserve">LTM EBITDA</t>
  </si>
  <si>
    <t xml:space="preserve">EV / Revenue</t>
  </si>
  <si>
    <t xml:space="preserve">EV / EBITDA</t>
  </si>
  <si>
    <t xml:space="preserve">EBITDA margin</t>
  </si>
  <si>
    <t xml:space="preserve">MID-CAP FOOD PEERS (used for valuation)</t>
  </si>
  <si>
    <t xml:space="preserve">Post Holdings</t>
  </si>
  <si>
    <t xml:space="preserve">POST</t>
  </si>
  <si>
    <t xml:space="preserve">The Marzetti Company</t>
  </si>
  <si>
    <t xml:space="preserve">MZTI</t>
  </si>
  <si>
    <t xml:space="preserve">Flowers Foods</t>
  </si>
  <si>
    <t xml:space="preserve">FLO</t>
  </si>
  <si>
    <t xml:space="preserve">BellRing Brands</t>
  </si>
  <si>
    <t xml:space="preserve">BRBR</t>
  </si>
  <si>
    <t xml:space="preserve">B&amp;G Foods</t>
  </si>
  <si>
    <t xml:space="preserve">BGS</t>
  </si>
  <si>
    <t xml:space="preserve">Simply Good Foods</t>
  </si>
  <si>
    <t xml:space="preserve">SMPL</t>
  </si>
  <si>
    <t xml:space="preserve">J&amp;J Snack Foods</t>
  </si>
  <si>
    <t xml:space="preserve">JJSF</t>
  </si>
  <si>
    <t xml:space="preserve">Median</t>
  </si>
  <si>
    <t xml:space="preserve">25th percentile</t>
  </si>
  <si>
    <t xml:space="preserve">75th percentile</t>
  </si>
  <si>
    <t xml:space="preserve">Mean</t>
  </si>
  <si>
    <t xml:space="preserve">LARGE-CAP SNACK &amp; FOOD (reference only — far larger and more diversified)</t>
  </si>
  <si>
    <t xml:space="preserve">Campbell's</t>
  </si>
  <si>
    <t xml:space="preserve">CPB</t>
  </si>
  <si>
    <t xml:space="preserve">General Mills</t>
  </si>
  <si>
    <t xml:space="preserve">GIS</t>
  </si>
  <si>
    <t xml:space="preserve">Hershey</t>
  </si>
  <si>
    <t xml:space="preserve">HSY</t>
  </si>
  <si>
    <t xml:space="preserve">Mondelez</t>
  </si>
  <si>
    <t xml:space="preserve">MDLZ</t>
  </si>
  <si>
    <t xml:space="preserve">UTZ — IMPLIED VALUE</t>
  </si>
  <si>
    <t xml:space="preserve">Utz LTM adjusted EBITDA</t>
  </si>
  <si>
    <t xml:space="preserve">Utz LTM adjusted EBITDA margin</t>
  </si>
  <si>
    <t xml:space="preserve">LTM net sales ≈ $1,452mm (FY2025 $1,438.8mm + H1 2026 growth of $14.3mm)</t>
  </si>
  <si>
    <t xml:space="preserve">Selected EV / LTM EBITDA range</t>
  </si>
  <si>
    <t xml:space="preserve">Low</t>
  </si>
  <si>
    <t xml:space="preserve">High</t>
  </si>
  <si>
    <t xml:space="preserve">Multiple (≈ peer 25th–75th percentile, rounded)</t>
  </si>
  <si>
    <t xml:space="preserve">Implied enterprise value</t>
  </si>
  <si>
    <t xml:space="preserve">Less net debt → equity value</t>
  </si>
  <si>
    <t xml:space="preserve">Peers' EBITDA is the data provider's figure, which may include some one-time items; Utz uses company-adjusted EBITDA.</t>
  </si>
  <si>
    <t xml:space="preserve">Selected Precedent Transactions — U.S. Packaged Snacks and Food</t>
  </si>
  <si>
    <t xml:space="preserve">Multiples as disclosed in deal announcements, or calculated as EV ÷ target's last twelve months adjusted EBITDA where not disclosed.</t>
  </si>
  <si>
    <t xml:space="preserve">Acquirer</t>
  </si>
  <si>
    <t xml:space="preserve">Target</t>
  </si>
  <si>
    <t xml:space="preserve">Announced</t>
  </si>
  <si>
    <t xml:space="preserve">Enterprise value ($bn)</t>
  </si>
  <si>
    <t xml:space="preserve">Basis</t>
  </si>
  <si>
    <t xml:space="preserve">Source</t>
  </si>
  <si>
    <t xml:space="preserve">Mars</t>
  </si>
  <si>
    <t xml:space="preserve">Kellanova</t>
  </si>
  <si>
    <t xml:space="preserve">Aug 2024</t>
  </si>
  <si>
    <t xml:space="preserve">LTM adj. EBITDA (disclosed)</t>
  </si>
  <si>
    <t xml:space="preserve">https://www.nasdaq.com/press-release/mars-acquire-kellanova-2024-08-14</t>
  </si>
  <si>
    <t xml:space="preserve">J.M. Smucker</t>
  </si>
  <si>
    <t xml:space="preserve">Hostess Brands</t>
  </si>
  <si>
    <t xml:space="preserve">Sep 2023</t>
  </si>
  <si>
    <t xml:space="preserve">2023E adj. EBITDA (disclosed)</t>
  </si>
  <si>
    <t xml:space="preserve">https://www.preparedfoods.com/articles/128505-the-j-m-smucker-co-to-acquire-hostess-brands</t>
  </si>
  <si>
    <t xml:space="preserve">Campbell Soup</t>
  </si>
  <si>
    <t xml:space="preserve">Snyder's-Lance</t>
  </si>
  <si>
    <t xml:space="preserve">Dec 2017</t>
  </si>
  <si>
    <t xml:space="preserve">CY2017E adj. EBITDA (disclosed)</t>
  </si>
  <si>
    <t xml:space="preserve">https://www.sec.gov/Archives/edgar/data/0000016732/000095015917000274/ex99-1.htm</t>
  </si>
  <si>
    <t xml:space="preserve">Ferrero</t>
  </si>
  <si>
    <t xml:space="preserve">WK Kellogg</t>
  </si>
  <si>
    <t xml:space="preserve">Jul 2025</t>
  </si>
  <si>
    <t xml:space="preserve">LTM Jun-25 adj. EBITDA (calculated)</t>
  </si>
  <si>
    <t xml:space="preserve">https://www.nasdaq.com/press-release/ferrero-acquire-wk-kellogg-co-2025-07-10</t>
  </si>
  <si>
    <t xml:space="preserve">Investindustrial</t>
  </si>
  <si>
    <t xml:space="preserve">TreeHouse Foods</t>
  </si>
  <si>
    <t xml:space="preserve">Nov 2025</t>
  </si>
  <si>
    <t xml:space="preserve">LTM Sep-25 adj. EBITDA (calculated)</t>
  </si>
  <si>
    <t xml:space="preserve">https://www.treehousefoods.com/news-and-media/press-release-details/2025/TreeHouse-Foods-Inc--Reports-Third-Quarter-2025-Results/default.aspx</t>
  </si>
  <si>
    <t xml:space="preserve">WK Kellogg: $3.1bn ÷ ($275mm FY2024 + $134mm H1 2025 − $161mm H1 2024) = $248mm LTM.</t>
  </si>
  <si>
    <t xml:space="preserve">TreeHouse: $2.9bn ÷ ($337.4mm FY2024 + $222.4mm 9M 2025 − $219.1mm 9M 2024) = $340.7mm LTM.</t>
  </si>
  <si>
    <t xml:space="preserve">The three large branded deals (16–20x) involved faster-growing, higher-margin brands and big synergy cases;</t>
  </si>
  <si>
    <t xml:space="preserve">the two most recent, similar-sized deals (8.5x, 12.5x) are the closest references for Utz.</t>
  </si>
  <si>
    <t xml:space="preserve">Multiple (anchored on recent similar-size deals)</t>
  </si>
  <si>
    <t xml:space="preserve">Valuation Summary — Where Does the $14.25 Offer Fall?</t>
  </si>
  <si>
    <t xml:space="preserve">Per-share values. Independent ranges (this analysis) beside the special committee advisor's ranges for reference.</t>
  </si>
  <si>
    <t xml:space="preserve">Method</t>
  </si>
  <si>
    <t xml:space="preserve">Midpoint</t>
  </si>
  <si>
    <t xml:space="preserve">Offer vs. midpoint</t>
  </si>
  <si>
    <t xml:space="preserve">Citi low</t>
  </si>
  <si>
    <t xml:space="preserve">Citi high</t>
  </si>
  <si>
    <t xml:space="preserve">DCF — management case</t>
  </si>
  <si>
    <t xml:space="preserve">WACC ±0.5%, terminal growth 1.5%–2.5%; midpoint = base WACC and 2.0% growth (DCF sheet with case 1)</t>
  </si>
  <si>
    <t xml:space="preserve">DCF — downside case</t>
  </si>
  <si>
    <t xml:space="preserve">Growth −1 pt and half the margin expansion; values captured by running the DCF sheet with case 2</t>
  </si>
  <si>
    <t xml:space="preserve">Trading comparables</t>
  </si>
  <si>
    <t xml:space="preserve">6.5x–8.5x LTM EBITDA (Citi: 6.6x–8.6x 2027E EBITDA)</t>
  </si>
  <si>
    <t xml:space="preserve">Precedent transactions</t>
  </si>
  <si>
    <t xml:space="preserve">10.5x–13.5x LTM EBITDA (Citi: 10.4x–12.4x)</t>
  </si>
  <si>
    <t xml:space="preserve">Premiums paid (30%–50%)</t>
  </si>
  <si>
    <t xml:space="preserve">Typical all-cash premiums on unaffected price</t>
  </si>
  <si>
    <t xml:space="preserve">52-week trading range</t>
  </si>
  <si>
    <t xml:space="preserve">Reference only</t>
  </si>
  <si>
    <t xml:space="preserve">Unaffected price (July 20, 2026)</t>
  </si>
  <si>
    <t xml:space="preserve">Citi ranges: final fairness analysis as summarized from the proxy (For Fairness Sake); Citi's DCF used 7.9%–8.5% WACC.</t>
  </si>
  <si>
    <t xml:space="preserve">Citi also showed an illustrative future share price of $7.85–$11.45 and analyst targets of $8.00–$15.00.</t>
  </si>
  <si>
    <t xml:space="preserve">Sources</t>
  </si>
  <si>
    <t xml:space="preserve">Utz Q2 2026 earnings release (LTM EBITDA, debt, cash, shares, deal context)</t>
  </si>
  <si>
    <t xml:space="preserve">https://www.sec.gov/Archives/edgar/data/0001739566/000162828026052888/pressrelease-2026q2earning.htm</t>
  </si>
  <si>
    <t xml:space="preserve">Utz Q4 2025 earnings release (FY2025 adjusted EBITDA, net debt)</t>
  </si>
  <si>
    <t xml:space="preserve">https://www.sec.gov/Archives/edgar/data/1739566/000162828026007457/pressrelease-2025q4earning.htm</t>
  </si>
  <si>
    <t xml:space="preserve">Utz / Intersnack announcement (price, premium, EV, structure, advisors)</t>
  </si>
  <si>
    <t xml:space="preserve">https://investors.utzsnacks.com/news/news-details/2026/Utz-Brands-Inc--and-Intersnack-Group-GmbH--Co--KG-Announce-Agreement-to-Take-Utz-Private-and-Partnership-with-Founding-Family/default.aspx</t>
  </si>
  <si>
    <t xml:space="preserve">Citi special committee materials, Mar 31, 2026 (management projections, WACC inputs, Citi ranges)</t>
  </si>
  <si>
    <t xml:space="preserve">https://www.sec.gov/Archives/edgar/data/1739566/000119312526362085/d75151dex9916cxx.htm</t>
  </si>
  <si>
    <t xml:space="preserve">Citi special committee materials, Apr 17, 2026 (offer history, 52-week range)</t>
  </si>
  <si>
    <t xml:space="preserve">https://www.sec.gov/Archives/edgar/data/1739566/000119312526362085/d75151dex9916cxxi.htm</t>
  </si>
  <si>
    <t xml:space="preserve">Proxy summary: For Fairness Sake (final Citi ranges, VWAPs, offer path)</t>
  </si>
  <si>
    <t xml:space="preserve">https://forfairnesssake.substack.com/p/for-fairness-sake-utz-to-be-acquired</t>
  </si>
  <si>
    <t xml:space="preserve">10-year Treasury rate, weekly (YCharts)</t>
  </si>
  <si>
    <t xml:space="preserve">https://ycharts.com/indicators/10_year_treasury_rate_weekly</t>
  </si>
  <si>
    <t xml:space="preserve">Peer market data: StockAnalysis.com statistics pages (POST, MZTI, FLO, BRBR, BGS, SMPL, JJSF, CPB, GIS, HSY, MDLZ)</t>
  </si>
  <si>
    <t xml:space="preserve">https://stockanalysis.com/stocks/</t>
  </si>
  <si>
    <t xml:space="preserve">Mars / Kellanova announcement</t>
  </si>
  <si>
    <t xml:space="preserve">Smucker / Hostess coverage</t>
  </si>
  <si>
    <t xml:space="preserve">Campbell / Snyder's-Lance announcement (8-K)</t>
  </si>
  <si>
    <t xml:space="preserve">Ferrero / WK Kellogg announcement</t>
  </si>
  <si>
    <t xml:space="preserve">WK Kellogg Q4 2024 and Q2 2025 releases (adjusted EBITDA)</t>
  </si>
  <si>
    <t xml:space="preserve">https://www.sec.gov/Archives/edgar/data/1959348/000162828025004776/klg-2024q4exhibit991.htm</t>
  </si>
  <si>
    <t xml:space="preserve">TreeHouse Q3 2025 release and Q4 2024 release (deal, adjusted EBITDA)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</si>
</sst>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;&quot;($&quot;#,##0.00\);\-"/>
    <numFmt numFmtId="166" formatCode="\$#,##0;&quot;($&quot;#,##0\);\-"/>
    <numFmt numFmtId="167" formatCode="0.0\x;\(0.0&quot;x)&quot;;\-"/>
    <numFmt numFmtId="168" formatCode="0.0%;\(0.0%\);\-"/>
    <numFmt numFmtId="169" formatCode="#,##0.0"/>
    <numFmt numFmtId="170" formatCode="\$#,##0.0;&quot;($&quot;#,##0.0\);\-"/>
    <numFmt numFmtId="171" formatCode="0.00"/>
    <numFmt numFmtId="172" formatCode="0.000"/>
    <numFmt numFmtId="173" formatCode="\$#,##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u val="single"/>
      <sz val="8"/>
      <color rgb="FF0563C1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7</xdr:col>
      <xdr:colOff>719640</xdr:colOff>
      <xdr:row>41</xdr:row>
      <xdr:rowOff>95040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3371760"/>
          <a:ext cx="8191080" cy="4667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nasdaq.com/press-release/mars-acquire-kellanova-2024-08-14" TargetMode="External"/><Relationship Id="rId2" Type="http://schemas.openxmlformats.org/officeDocument/2006/relationships/hyperlink" Target="https://www.preparedfoods.com/articles/128505-the-j-m-smucker-co-to-acquire-hostess-brands" TargetMode="External"/><Relationship Id="rId3" Type="http://schemas.openxmlformats.org/officeDocument/2006/relationships/hyperlink" Target="https://www.sec.gov/Archives/edgar/data/0000016732/000095015917000274/ex99-1.htm" TargetMode="External"/><Relationship Id="rId4" Type="http://schemas.openxmlformats.org/officeDocument/2006/relationships/hyperlink" Target="https://www.nasdaq.com/press-release/ferrero-acquire-wk-kellogg-co-2025-07-10" TargetMode="External"/><Relationship Id="rId5" Type="http://schemas.openxmlformats.org/officeDocument/2006/relationships/hyperlink" Target="https://www.treehousefoods.com/news-and-media/press-release-details/2025/TreeHouse-Foods-Inc--Reports-Third-Quarter-2025-Results/default.asp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0001739566/000162828026052888/pressrelease-2026q2earning.htm" TargetMode="External"/><Relationship Id="rId2" Type="http://schemas.openxmlformats.org/officeDocument/2006/relationships/hyperlink" Target="https://www.sec.gov/Archives/edgar/data/1739566/000162828026007457/pressrelease-2025q4earning.htm" TargetMode="External"/><Relationship Id="rId3" Type="http://schemas.openxmlformats.org/officeDocument/2006/relationships/hyperlink" Target="https://investors.utzsnacks.com/news/news-details/2026/Utz-Brands-Inc--and-Intersnack-Group-GmbH--Co--KG-Announce-Agreement-to-Take-Utz-Private-and-Partnership-with-Founding-Family/default.aspx" TargetMode="External"/><Relationship Id="rId4" Type="http://schemas.openxmlformats.org/officeDocument/2006/relationships/hyperlink" Target="https://www.sec.gov/Archives/edgar/data/1739566/000119312526362085/d75151dex9916cxx.htm" TargetMode="External"/><Relationship Id="rId5" Type="http://schemas.openxmlformats.org/officeDocument/2006/relationships/hyperlink" Target="https://www.sec.gov/Archives/edgar/data/1739566/000119312526362085/d75151dex9916cxxi.htm" TargetMode="External"/><Relationship Id="rId6" Type="http://schemas.openxmlformats.org/officeDocument/2006/relationships/hyperlink" Target="https://forfairnesssake.substack.com/p/for-fairness-sake-utz-to-be-acquired" TargetMode="External"/><Relationship Id="rId7" Type="http://schemas.openxmlformats.org/officeDocument/2006/relationships/hyperlink" Target="https://ycharts.com/indicators/10_year_treasury_rate_weekly" TargetMode="External"/><Relationship Id="rId8" Type="http://schemas.openxmlformats.org/officeDocument/2006/relationships/hyperlink" Target="https://stockanalysis.com/stocks/" TargetMode="External"/><Relationship Id="rId9" Type="http://schemas.openxmlformats.org/officeDocument/2006/relationships/hyperlink" Target="https://www.nasdaq.com/press-release/mars-acquire-kellanova-2024-08-14" TargetMode="External"/><Relationship Id="rId10" Type="http://schemas.openxmlformats.org/officeDocument/2006/relationships/hyperlink" Target="https://www.preparedfoods.com/articles/128505-the-j-m-smucker-co-to-acquire-hostess-brands" TargetMode="External"/><Relationship Id="rId11" Type="http://schemas.openxmlformats.org/officeDocument/2006/relationships/hyperlink" Target="https://www.sec.gov/Archives/edgar/data/0000016732/000095015917000274/ex99-1.htm" TargetMode="External"/><Relationship Id="rId12" Type="http://schemas.openxmlformats.org/officeDocument/2006/relationships/hyperlink" Target="https://www.nasdaq.com/press-release/ferrero-acquire-wk-kellogg-co-2025-07-10" TargetMode="External"/><Relationship Id="rId13" Type="http://schemas.openxmlformats.org/officeDocument/2006/relationships/hyperlink" Target="https://www.sec.gov/Archives/edgar/data/1959348/000162828025004776/klg-2024q4exhibit991.htm" TargetMode="External"/><Relationship Id="rId14" Type="http://schemas.openxmlformats.org/officeDocument/2006/relationships/hyperlink" Target="https://www.treehousefoods.com/news-and-media/press-release-details/2025/TreeHouse-Foods-Inc--Reports-Third-Quarter-2025-Results/default.asp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22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</row>
    <row r="5" customFormat="false" ht="15" hidden="false" customHeight="true" outlineLevel="0" collapsed="false">
      <c r="A5" s="6" t="s">
        <v>3</v>
      </c>
      <c r="B5" s="7" t="n">
        <f aca="false">'Deal &amp; Inputs'!$B$4</f>
        <v>14.25</v>
      </c>
    </row>
    <row r="6" customFormat="false" ht="15" hidden="false" customHeight="true" outlineLevel="0" collapsed="false">
      <c r="A6" s="6" t="s">
        <v>4</v>
      </c>
      <c r="B6" s="8" t="n">
        <f aca="false">'Deal &amp; Inputs'!$B$22</f>
        <v>2872.925</v>
      </c>
    </row>
    <row r="7" customFormat="false" ht="15" hidden="false" customHeight="true" outlineLevel="0" collapsed="false">
      <c r="A7" s="6" t="s">
        <v>5</v>
      </c>
      <c r="B7" s="9" t="n">
        <f aca="false">'Deal &amp; Inputs'!$B$23</f>
        <v>12.6952054794521</v>
      </c>
    </row>
    <row r="8" customFormat="false" ht="15" hidden="false" customHeight="true" outlineLevel="0" collapsed="false">
      <c r="A8" s="6" t="s">
        <v>6</v>
      </c>
      <c r="B8" s="10" t="n">
        <f aca="false">'Deal &amp; Inputs'!$B$26</f>
        <v>0.910187667560322</v>
      </c>
    </row>
    <row r="9" customFormat="false" ht="15" hidden="false" customHeight="true" outlineLevel="0" collapsed="false">
      <c r="A9" s="6" t="s">
        <v>7</v>
      </c>
      <c r="B9" s="7" t="n">
        <f aca="false">DCF!B71</f>
        <v>12.0266210469446</v>
      </c>
    </row>
    <row r="10" customFormat="false" ht="15" hidden="false" customHeight="true" outlineLevel="0" collapsed="false">
      <c r="A10" s="6" t="s">
        <v>8</v>
      </c>
      <c r="B10" s="11" t="str">
        <f aca="false">TEXT('Trading Comps'!B32,"$0.00")&amp;" – "&amp;TEXT('Trading Comps'!C32,"$0.00")</f>
        <v>$4.65 – $7.75</v>
      </c>
    </row>
    <row r="11" customFormat="false" ht="15" hidden="false" customHeight="true" outlineLevel="0" collapsed="false">
      <c r="A11" s="6" t="s">
        <v>9</v>
      </c>
      <c r="B11" s="11" t="str">
        <f aca="false">TEXT('Precedent Transactions'!B25,"$0.00")&amp;" – "&amp;TEXT('Precedent Transactions'!C25,"$0.00")</f>
        <v>$10.85 – $15.50</v>
      </c>
    </row>
    <row r="13" customFormat="false" ht="15" hidden="false" customHeight="true" outlineLevel="0" collapsed="false">
      <c r="A13" s="4" t="s">
        <v>10</v>
      </c>
      <c r="B13" s="5"/>
    </row>
    <row r="14" customFormat="false" ht="15" hidden="false" customHeight="true" outlineLevel="0" collapsed="false">
      <c r="A14" s="6" t="s">
        <v>11</v>
      </c>
    </row>
    <row r="15" customFormat="false" ht="15" hidden="false" customHeight="true" outlineLevel="0" collapsed="false">
      <c r="A15" s="6" t="s">
        <v>12</v>
      </c>
    </row>
    <row r="16" customFormat="false" ht="15" hidden="false" customHeight="true" outlineLevel="0" collapsed="false">
      <c r="A16" s="6" t="s">
        <v>13</v>
      </c>
    </row>
    <row r="17" customFormat="false" ht="15" hidden="false" customHeight="true" outlineLevel="0" collapsed="false">
      <c r="A17" s="6" t="s">
        <v>14</v>
      </c>
    </row>
    <row r="18" customFormat="false" ht="15" hidden="false" customHeight="true" outlineLevel="0" collapsed="false">
      <c r="A18" s="6" t="s">
        <v>15</v>
      </c>
    </row>
    <row r="19" customFormat="false" ht="15" hidden="false" customHeight="true" outlineLevel="0" collapsed="false">
      <c r="A19" s="6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  <col collapsed="false" customWidth="true" hidden="false" outlineLevel="0" max="3" min="3" style="1" width="90"/>
  </cols>
  <sheetData>
    <row r="1" customFormat="false" ht="17.25" hidden="false" customHeight="true" outlineLevel="0" collapsed="false">
      <c r="A1" s="12" t="s">
        <v>17</v>
      </c>
    </row>
    <row r="2" customFormat="false" ht="15" hidden="false" customHeight="true" outlineLevel="0" collapsed="false">
      <c r="A2" s="3" t="s">
        <v>18</v>
      </c>
    </row>
    <row r="3" customFormat="false" ht="15" hidden="false" customHeight="true" outlineLevel="0" collapsed="false">
      <c r="A3" s="4" t="s">
        <v>19</v>
      </c>
      <c r="B3" s="5"/>
      <c r="C3" s="5"/>
    </row>
    <row r="4" customFormat="false" ht="15" hidden="false" customHeight="true" outlineLevel="0" collapsed="false">
      <c r="A4" s="6" t="s">
        <v>20</v>
      </c>
      <c r="B4" s="13" t="n">
        <v>14.25</v>
      </c>
      <c r="C4" s="3" t="s">
        <v>21</v>
      </c>
    </row>
    <row r="5" customFormat="false" ht="15" hidden="false" customHeight="true" outlineLevel="0" collapsed="false">
      <c r="A5" s="6" t="s">
        <v>22</v>
      </c>
      <c r="B5" s="13" t="n">
        <v>7.46</v>
      </c>
      <c r="C5" s="3" t="s">
        <v>23</v>
      </c>
    </row>
    <row r="6" customFormat="false" ht="15" hidden="false" customHeight="true" outlineLevel="0" collapsed="false">
      <c r="A6" s="6" t="s">
        <v>24</v>
      </c>
      <c r="B6" s="13" t="n">
        <v>7.44</v>
      </c>
      <c r="C6" s="3" t="s">
        <v>25</v>
      </c>
    </row>
    <row r="7" customFormat="false" ht="15" hidden="false" customHeight="true" outlineLevel="0" collapsed="false">
      <c r="A7" s="6" t="s">
        <v>26</v>
      </c>
      <c r="B7" s="13" t="n">
        <v>7.54</v>
      </c>
      <c r="C7" s="3" t="s">
        <v>25</v>
      </c>
    </row>
    <row r="8" customFormat="false" ht="15" hidden="false" customHeight="true" outlineLevel="0" collapsed="false">
      <c r="A8" s="6" t="s">
        <v>27</v>
      </c>
      <c r="B8" s="13" t="n">
        <v>14.67</v>
      </c>
      <c r="C8" s="3" t="s">
        <v>28</v>
      </c>
    </row>
    <row r="9" customFormat="false" ht="15" hidden="false" customHeight="true" outlineLevel="0" collapsed="false">
      <c r="A9" s="6" t="s">
        <v>29</v>
      </c>
      <c r="B9" s="13" t="n">
        <v>7.12</v>
      </c>
      <c r="C9" s="3" t="s">
        <v>28</v>
      </c>
    </row>
    <row r="10" customFormat="false" ht="15" hidden="false" customHeight="true" outlineLevel="0" collapsed="false">
      <c r="A10" s="4" t="s">
        <v>30</v>
      </c>
      <c r="B10" s="5"/>
      <c r="C10" s="5"/>
    </row>
    <row r="11" customFormat="false" ht="15" hidden="false" customHeight="true" outlineLevel="0" collapsed="false">
      <c r="A11" s="6" t="s">
        <v>31</v>
      </c>
      <c r="B11" s="14" t="n">
        <v>146.1</v>
      </c>
      <c r="C11" s="3" t="s">
        <v>32</v>
      </c>
    </row>
    <row r="12" customFormat="false" ht="15" hidden="false" customHeight="true" outlineLevel="0" collapsed="false">
      <c r="A12" s="6" t="s">
        <v>33</v>
      </c>
      <c r="B12" s="15" t="n">
        <v>849.6</v>
      </c>
      <c r="C12" s="3" t="s">
        <v>34</v>
      </c>
    </row>
    <row r="13" customFormat="false" ht="15" hidden="false" customHeight="true" outlineLevel="0" collapsed="false">
      <c r="A13" s="6" t="s">
        <v>35</v>
      </c>
      <c r="B13" s="15" t="n">
        <v>58.6</v>
      </c>
      <c r="C13" s="3" t="s">
        <v>34</v>
      </c>
    </row>
    <row r="14" customFormat="false" ht="15" hidden="false" customHeight="true" outlineLevel="0" collapsed="false">
      <c r="A14" s="6" t="s">
        <v>36</v>
      </c>
      <c r="B14" s="16" t="n">
        <f aca="false">B12-B13</f>
        <v>791</v>
      </c>
      <c r="C14" s="3" t="s">
        <v>37</v>
      </c>
    </row>
    <row r="15" customFormat="false" ht="15" hidden="false" customHeight="true" outlineLevel="0" collapsed="false">
      <c r="A15" s="4" t="s">
        <v>38</v>
      </c>
      <c r="B15" s="5"/>
      <c r="C15" s="5"/>
    </row>
    <row r="16" customFormat="false" ht="15" hidden="false" customHeight="true" outlineLevel="0" collapsed="false">
      <c r="A16" s="6" t="s">
        <v>39</v>
      </c>
      <c r="B16" s="15" t="n">
        <v>226.3</v>
      </c>
      <c r="C16" s="3" t="s">
        <v>40</v>
      </c>
    </row>
    <row r="17" customFormat="false" ht="15" hidden="false" customHeight="true" outlineLevel="0" collapsed="false">
      <c r="A17" s="6" t="s">
        <v>41</v>
      </c>
      <c r="B17" s="15" t="n">
        <v>216.5</v>
      </c>
      <c r="C17" s="3" t="s">
        <v>42</v>
      </c>
    </row>
    <row r="18" customFormat="false" ht="15" hidden="false" customHeight="true" outlineLevel="0" collapsed="false">
      <c r="A18" s="6" t="s">
        <v>43</v>
      </c>
      <c r="B18" s="15" t="n">
        <v>232</v>
      </c>
      <c r="C18" s="3" t="s">
        <v>44</v>
      </c>
    </row>
    <row r="19" customFormat="false" ht="15" hidden="false" customHeight="true" outlineLevel="0" collapsed="false">
      <c r="A19" s="6" t="s">
        <v>45</v>
      </c>
      <c r="B19" s="15" t="n">
        <v>246</v>
      </c>
      <c r="C19" s="3" t="s">
        <v>44</v>
      </c>
    </row>
    <row r="20" customFormat="false" ht="15" hidden="false" customHeight="true" outlineLevel="0" collapsed="false">
      <c r="A20" s="4" t="s">
        <v>46</v>
      </c>
      <c r="B20" s="5"/>
      <c r="C20" s="5"/>
    </row>
    <row r="21" customFormat="false" ht="15" hidden="false" customHeight="true" outlineLevel="0" collapsed="false">
      <c r="A21" s="6" t="s">
        <v>47</v>
      </c>
      <c r="B21" s="16" t="n">
        <f aca="false">B4*B11</f>
        <v>2081.925</v>
      </c>
    </row>
    <row r="22" customFormat="false" ht="15" hidden="false" customHeight="true" outlineLevel="0" collapsed="false">
      <c r="A22" s="17" t="s">
        <v>48</v>
      </c>
      <c r="B22" s="18" t="n">
        <f aca="false">B21+B14</f>
        <v>2872.925</v>
      </c>
      <c r="C22" s="3" t="s">
        <v>49</v>
      </c>
    </row>
    <row r="23" customFormat="false" ht="15" hidden="false" customHeight="true" outlineLevel="0" collapsed="false">
      <c r="A23" s="17" t="s">
        <v>5</v>
      </c>
      <c r="B23" s="19" t="n">
        <f aca="false">B22/B16</f>
        <v>12.6952054794521</v>
      </c>
    </row>
    <row r="24" customFormat="false" ht="15" hidden="false" customHeight="true" outlineLevel="0" collapsed="false">
      <c r="A24" s="6" t="s">
        <v>50</v>
      </c>
      <c r="B24" s="20" t="n">
        <f aca="false">B22/B18</f>
        <v>12.3832974137931</v>
      </c>
    </row>
    <row r="25" customFormat="false" ht="15" hidden="false" customHeight="true" outlineLevel="0" collapsed="false">
      <c r="A25" s="6" t="s">
        <v>51</v>
      </c>
      <c r="B25" s="20" t="n">
        <f aca="false">B22/B19</f>
        <v>11.6785569105691</v>
      </c>
    </row>
    <row r="26" customFormat="false" ht="15" hidden="false" customHeight="true" outlineLevel="0" collapsed="false">
      <c r="A26" s="17" t="s">
        <v>6</v>
      </c>
      <c r="B26" s="21" t="n">
        <f aca="false">B4/B5-1</f>
        <v>0.910187667560322</v>
      </c>
    </row>
    <row r="27" customFormat="false" ht="15" hidden="false" customHeight="true" outlineLevel="0" collapsed="false">
      <c r="A27" s="6" t="s">
        <v>52</v>
      </c>
      <c r="B27" s="22" t="n">
        <f aca="false">B4/B6-1</f>
        <v>0.915322580645161</v>
      </c>
    </row>
    <row r="28" customFormat="false" ht="15" hidden="false" customHeight="true" outlineLevel="0" collapsed="false">
      <c r="A28" s="6" t="s">
        <v>53</v>
      </c>
      <c r="B28" s="22" t="n">
        <f aca="false">B4/B7-1</f>
        <v>0.889920424403183</v>
      </c>
    </row>
    <row r="29" customFormat="false" ht="15" hidden="false" customHeight="true" outlineLevel="0" collapsed="false">
      <c r="A29" s="6" t="s">
        <v>54</v>
      </c>
      <c r="B29" s="22" t="n">
        <f aca="false">B4/B8-1</f>
        <v>-0.0286298568507157</v>
      </c>
    </row>
    <row r="31" customFormat="false" ht="15" hidden="false" customHeight="true" outlineLevel="0" collapsed="false">
      <c r="A31" s="4" t="s">
        <v>55</v>
      </c>
      <c r="B31" s="5"/>
      <c r="C31" s="5"/>
    </row>
    <row r="32" customFormat="false" ht="15" hidden="false" customHeight="true" outlineLevel="0" collapsed="false">
      <c r="A32" s="23" t="s">
        <v>56</v>
      </c>
      <c r="B32" s="24" t="s">
        <v>57</v>
      </c>
      <c r="C32" s="24" t="s">
        <v>58</v>
      </c>
    </row>
    <row r="33" customFormat="false" ht="15" hidden="false" customHeight="true" outlineLevel="0" collapsed="false">
      <c r="A33" s="6" t="s">
        <v>59</v>
      </c>
      <c r="B33" s="13" t="n">
        <v>11</v>
      </c>
      <c r="C33" s="25" t="n">
        <f aca="false">B33/$B$5-1</f>
        <v>0.474530831099196</v>
      </c>
    </row>
    <row r="34" customFormat="false" ht="15" hidden="false" customHeight="true" outlineLevel="0" collapsed="false">
      <c r="A34" s="6" t="s">
        <v>60</v>
      </c>
      <c r="B34" s="13" t="n">
        <v>11.75</v>
      </c>
      <c r="C34" s="25" t="n">
        <f aca="false">B34/$B$5-1</f>
        <v>0.575067024128686</v>
      </c>
    </row>
    <row r="35" customFormat="false" ht="15" hidden="false" customHeight="true" outlineLevel="0" collapsed="false">
      <c r="A35" s="6" t="s">
        <v>61</v>
      </c>
      <c r="B35" s="13" t="n">
        <v>13.75</v>
      </c>
      <c r="C35" s="25" t="n">
        <f aca="false">B35/$B$5-1</f>
        <v>0.843163538873995</v>
      </c>
    </row>
    <row r="36" customFormat="false" ht="15" hidden="false" customHeight="true" outlineLevel="0" collapsed="false">
      <c r="A36" s="6" t="s">
        <v>62</v>
      </c>
      <c r="B36" s="13" t="n">
        <v>14</v>
      </c>
      <c r="C36" s="25" t="n">
        <f aca="false">B36/$B$5-1</f>
        <v>0.876675603217158</v>
      </c>
    </row>
    <row r="37" customFormat="false" ht="15" hidden="false" customHeight="true" outlineLevel="0" collapsed="false">
      <c r="A37" s="6" t="s">
        <v>63</v>
      </c>
      <c r="B37" s="13" t="n">
        <v>14.1</v>
      </c>
      <c r="C37" s="25" t="n">
        <f aca="false">B37/$B$5-1</f>
        <v>0.890080428954424</v>
      </c>
    </row>
    <row r="38" customFormat="false" ht="15" hidden="false" customHeight="true" outlineLevel="0" collapsed="false">
      <c r="A38" s="6" t="s">
        <v>64</v>
      </c>
      <c r="B38" s="13" t="n">
        <v>14.25</v>
      </c>
      <c r="C38" s="25" t="n">
        <f aca="false">B38/$B$5-1</f>
        <v>0.910187667560322</v>
      </c>
    </row>
    <row r="39" customFormat="false" ht="15" hidden="false" customHeight="true" outlineLevel="0" collapsed="false">
      <c r="A39" s="3" t="s">
        <v>65</v>
      </c>
    </row>
    <row r="41" customFormat="false" ht="15" hidden="false" customHeight="true" outlineLevel="0" collapsed="false">
      <c r="A41" s="4" t="s">
        <v>66</v>
      </c>
      <c r="B41" s="5"/>
      <c r="C41" s="5"/>
    </row>
    <row r="42" customFormat="false" ht="15" hidden="false" customHeight="true" outlineLevel="0" collapsed="false">
      <c r="A42" s="6" t="s">
        <v>67</v>
      </c>
    </row>
    <row r="43" customFormat="false" ht="15" hidden="false" customHeight="true" outlineLevel="0" collapsed="false">
      <c r="A43" s="6" t="s">
        <v>68</v>
      </c>
    </row>
    <row r="44" customFormat="false" ht="15" hidden="false" customHeight="true" outlineLevel="0" collapsed="false">
      <c r="A44" s="6" t="s">
        <v>69</v>
      </c>
    </row>
    <row r="45" customFormat="false" ht="15" hidden="false" customHeight="true" outlineLevel="0" collapsed="false">
      <c r="A45" s="6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8" min="4" style="1" width="12"/>
  </cols>
  <sheetData>
    <row r="1" customFormat="false" ht="17.25" hidden="false" customHeight="true" outlineLevel="0" collapsed="false">
      <c r="A1" s="12" t="s">
        <v>71</v>
      </c>
    </row>
    <row r="2" customFormat="false" ht="15" hidden="false" customHeight="true" outlineLevel="0" collapsed="false">
      <c r="A2" s="3" t="s">
        <v>72</v>
      </c>
    </row>
    <row r="4" customFormat="false" ht="15" hidden="false" customHeight="true" outlineLevel="0" collapsed="false">
      <c r="A4" s="17" t="s">
        <v>73</v>
      </c>
      <c r="B4" s="26" t="n">
        <v>1</v>
      </c>
      <c r="C4" s="17" t="str">
        <f aca="false">IF($B$4=1,"Management case","Downside case")</f>
        <v>Management case</v>
      </c>
    </row>
    <row r="6" customFormat="false" ht="15" hidden="false" customHeight="true" outlineLevel="0" collapsed="false">
      <c r="A6" s="23" t="s">
        <v>74</v>
      </c>
      <c r="B6" s="24" t="s">
        <v>75</v>
      </c>
      <c r="C6" s="24" t="s">
        <v>76</v>
      </c>
      <c r="D6" s="24" t="s">
        <v>77</v>
      </c>
      <c r="E6" s="24" t="s">
        <v>78</v>
      </c>
      <c r="F6" s="24" t="s">
        <v>79</v>
      </c>
      <c r="G6" s="24" t="s">
        <v>80</v>
      </c>
      <c r="H6" s="24" t="s">
        <v>81</v>
      </c>
    </row>
    <row r="7" customFormat="false" ht="15" hidden="false" customHeight="true" outlineLevel="0" collapsed="false">
      <c r="A7" s="4" t="s">
        <v>82</v>
      </c>
      <c r="B7" s="5"/>
      <c r="C7" s="5"/>
      <c r="D7" s="5"/>
      <c r="E7" s="5"/>
      <c r="F7" s="5"/>
      <c r="G7" s="5"/>
      <c r="H7" s="5"/>
    </row>
    <row r="8" customFormat="false" ht="15" hidden="false" customHeight="true" outlineLevel="0" collapsed="false">
      <c r="A8" s="6" t="s">
        <v>83</v>
      </c>
      <c r="B8" s="27" t="n">
        <v>1513</v>
      </c>
      <c r="C8" s="27" t="n">
        <v>1541</v>
      </c>
      <c r="D8" s="27" t="n">
        <v>1609</v>
      </c>
      <c r="E8" s="27" t="n">
        <v>1673</v>
      </c>
      <c r="F8" s="27" t="n">
        <v>1770</v>
      </c>
      <c r="G8" s="27" t="n">
        <v>1803</v>
      </c>
    </row>
    <row r="9" customFormat="false" ht="15" hidden="false" customHeight="true" outlineLevel="0" collapsed="false">
      <c r="A9" s="6" t="s">
        <v>84</v>
      </c>
      <c r="B9" s="27" t="n">
        <v>232</v>
      </c>
      <c r="C9" s="27" t="n">
        <v>246</v>
      </c>
      <c r="D9" s="27" t="n">
        <v>263</v>
      </c>
      <c r="E9" s="27" t="n">
        <v>283</v>
      </c>
      <c r="F9" s="27" t="n">
        <v>310</v>
      </c>
      <c r="G9" s="27" t="n">
        <v>325</v>
      </c>
    </row>
    <row r="10" customFormat="false" ht="15" hidden="false" customHeight="true" outlineLevel="0" collapsed="false">
      <c r="A10" s="6" t="s">
        <v>85</v>
      </c>
      <c r="B10" s="27" t="n">
        <v>104</v>
      </c>
      <c r="C10" s="27" t="n">
        <v>107</v>
      </c>
      <c r="D10" s="27" t="n">
        <v>104</v>
      </c>
      <c r="E10" s="27" t="n">
        <v>104</v>
      </c>
      <c r="F10" s="27" t="n">
        <v>102</v>
      </c>
      <c r="G10" s="27" t="n">
        <v>102</v>
      </c>
      <c r="H10" s="27" t="n">
        <v>58</v>
      </c>
    </row>
    <row r="11" customFormat="false" ht="15" hidden="false" customHeight="true" outlineLevel="0" collapsed="false">
      <c r="A11" s="6" t="s">
        <v>86</v>
      </c>
      <c r="B11" s="27" t="n">
        <v>17</v>
      </c>
      <c r="C11" s="27" t="n">
        <v>17</v>
      </c>
      <c r="D11" s="27" t="n">
        <v>17</v>
      </c>
      <c r="E11" s="27" t="n">
        <v>17</v>
      </c>
      <c r="F11" s="27" t="n">
        <v>17</v>
      </c>
      <c r="G11" s="27" t="n">
        <v>17</v>
      </c>
      <c r="H11" s="27" t="n">
        <v>17</v>
      </c>
    </row>
    <row r="12" customFormat="false" ht="15" hidden="false" customHeight="true" outlineLevel="0" collapsed="false">
      <c r="A12" s="6" t="s">
        <v>87</v>
      </c>
      <c r="B12" s="27" t="n">
        <v>45</v>
      </c>
      <c r="C12" s="27" t="n">
        <v>25</v>
      </c>
      <c r="D12" s="27" t="n">
        <v>15</v>
      </c>
      <c r="E12" s="27" t="n">
        <v>15</v>
      </c>
      <c r="F12" s="27" t="n">
        <v>15</v>
      </c>
      <c r="G12" s="27" t="n">
        <v>15</v>
      </c>
      <c r="H12" s="27" t="n">
        <v>0</v>
      </c>
    </row>
    <row r="13" customFormat="false" ht="15" hidden="false" customHeight="true" outlineLevel="0" collapsed="false">
      <c r="A13" s="6" t="s">
        <v>88</v>
      </c>
      <c r="B13" s="27" t="n">
        <v>25</v>
      </c>
      <c r="C13" s="27" t="n">
        <v>0</v>
      </c>
      <c r="D13" s="27" t="n">
        <v>0</v>
      </c>
      <c r="E13" s="27" t="n">
        <v>0</v>
      </c>
      <c r="F13" s="27" t="n">
        <v>0</v>
      </c>
      <c r="G13" s="27" t="n">
        <v>0</v>
      </c>
      <c r="H13" s="27" t="n">
        <v>0</v>
      </c>
    </row>
    <row r="14" customFormat="false" ht="15" hidden="false" customHeight="true" outlineLevel="0" collapsed="false">
      <c r="A14" s="6" t="s">
        <v>89</v>
      </c>
      <c r="B14" s="28" t="n">
        <v>0.1</v>
      </c>
      <c r="C14" s="28" t="n">
        <v>0.277</v>
      </c>
      <c r="D14" s="28" t="n">
        <v>0.277</v>
      </c>
      <c r="E14" s="28" t="n">
        <v>0.277</v>
      </c>
      <c r="F14" s="28" t="n">
        <v>0.277</v>
      </c>
      <c r="G14" s="28" t="n">
        <v>0.277</v>
      </c>
      <c r="H14" s="28" t="n">
        <v>0.277</v>
      </c>
    </row>
    <row r="15" customFormat="false" ht="15" hidden="false" customHeight="true" outlineLevel="0" collapsed="false">
      <c r="A15" s="6" t="s">
        <v>90</v>
      </c>
      <c r="B15" s="27" t="n">
        <v>61</v>
      </c>
      <c r="C15" s="27" t="n">
        <v>42</v>
      </c>
      <c r="D15" s="27" t="n">
        <v>48</v>
      </c>
      <c r="E15" s="27" t="n">
        <v>50</v>
      </c>
      <c r="F15" s="27" t="n">
        <v>52</v>
      </c>
      <c r="G15" s="27" t="n">
        <v>52</v>
      </c>
      <c r="H15" s="27" t="n">
        <v>52</v>
      </c>
    </row>
    <row r="16" customFormat="false" ht="15" hidden="false" customHeight="true" outlineLevel="0" collapsed="false">
      <c r="A16" s="6" t="s">
        <v>91</v>
      </c>
      <c r="B16" s="27" t="n">
        <v>20</v>
      </c>
      <c r="C16" s="27" t="n">
        <v>11</v>
      </c>
      <c r="D16" s="27" t="n">
        <v>9</v>
      </c>
      <c r="E16" s="27" t="n">
        <v>8</v>
      </c>
      <c r="F16" s="27" t="n">
        <v>6</v>
      </c>
      <c r="G16" s="27" t="n">
        <v>6</v>
      </c>
      <c r="H16" s="27" t="n">
        <v>6</v>
      </c>
    </row>
    <row r="17" customFormat="false" ht="15" hidden="false" customHeight="true" outlineLevel="0" collapsed="false">
      <c r="A17" s="6" t="s">
        <v>92</v>
      </c>
      <c r="B17" s="27" t="n">
        <v>0</v>
      </c>
      <c r="C17" s="27" t="n">
        <v>8</v>
      </c>
      <c r="D17" s="27" t="n">
        <v>8</v>
      </c>
      <c r="E17" s="27" t="n">
        <v>8</v>
      </c>
      <c r="F17" s="27" t="n">
        <v>8</v>
      </c>
      <c r="G17" s="27" t="n">
        <v>9</v>
      </c>
      <c r="H17" s="27" t="n">
        <v>5</v>
      </c>
    </row>
    <row r="18" customFormat="false" ht="15" hidden="false" customHeight="true" outlineLevel="0" collapsed="false">
      <c r="A18" s="3" t="s">
        <v>93</v>
      </c>
    </row>
    <row r="20" customFormat="false" ht="15" hidden="false" customHeight="true" outlineLevel="0" collapsed="false">
      <c r="A20" s="4" t="s">
        <v>94</v>
      </c>
      <c r="B20" s="5"/>
      <c r="C20" s="5"/>
      <c r="D20" s="5"/>
      <c r="E20" s="5"/>
      <c r="F20" s="5"/>
      <c r="G20" s="5"/>
      <c r="H20" s="5"/>
    </row>
    <row r="21" customFormat="false" ht="15" hidden="false" customHeight="true" outlineLevel="0" collapsed="false">
      <c r="A21" s="6" t="s">
        <v>95</v>
      </c>
      <c r="B21" s="29" t="n">
        <v>0.01</v>
      </c>
    </row>
    <row r="22" customFormat="false" ht="15" hidden="false" customHeight="true" outlineLevel="0" collapsed="false">
      <c r="A22" s="6" t="s">
        <v>96</v>
      </c>
      <c r="B22" s="29" t="n">
        <v>0.5</v>
      </c>
    </row>
    <row r="23" customFormat="false" ht="15" hidden="false" customHeight="true" outlineLevel="0" collapsed="false">
      <c r="A23" s="3" t="s">
        <v>97</v>
      </c>
    </row>
    <row r="25" customFormat="false" ht="15" hidden="false" customHeight="true" outlineLevel="0" collapsed="false">
      <c r="A25" s="4" t="s">
        <v>98</v>
      </c>
      <c r="B25" s="5"/>
      <c r="C25" s="5"/>
      <c r="D25" s="5"/>
      <c r="E25" s="5"/>
      <c r="F25" s="5"/>
      <c r="G25" s="5"/>
      <c r="H25" s="5"/>
    </row>
    <row r="26" customFormat="false" ht="15" hidden="false" customHeight="true" outlineLevel="0" collapsed="false">
      <c r="A26" s="23" t="s">
        <v>74</v>
      </c>
      <c r="B26" s="24" t="s">
        <v>75</v>
      </c>
      <c r="C26" s="24" t="s">
        <v>76</v>
      </c>
      <c r="D26" s="24" t="s">
        <v>77</v>
      </c>
      <c r="E26" s="24" t="s">
        <v>78</v>
      </c>
      <c r="F26" s="24" t="s">
        <v>79</v>
      </c>
      <c r="G26" s="24" t="s">
        <v>80</v>
      </c>
      <c r="H26" s="24" t="s">
        <v>81</v>
      </c>
    </row>
    <row r="27" customFormat="false" ht="15" hidden="false" customHeight="true" outlineLevel="0" collapsed="false">
      <c r="A27" s="6" t="s">
        <v>83</v>
      </c>
      <c r="B27" s="30" t="n">
        <f aca="false">B8</f>
        <v>1513</v>
      </c>
      <c r="C27" s="30" t="n">
        <f aca="false">B27*(C8/B8-IF($B$4=2,$B$21,0))</f>
        <v>1541</v>
      </c>
      <c r="D27" s="30" t="n">
        <f aca="false">C27*(D8/C8-IF($B$4=2,$B$21,0))</f>
        <v>1609</v>
      </c>
      <c r="E27" s="30" t="n">
        <f aca="false">D27*(E8/D8-IF($B$4=2,$B$21,0))</f>
        <v>1673</v>
      </c>
      <c r="F27" s="30" t="n">
        <f aca="false">E27*(F8/E8-IF($B$4=2,$B$21,0))</f>
        <v>1770</v>
      </c>
      <c r="G27" s="30" t="n">
        <f aca="false">F27*(G8/F8-IF($B$4=2,$B$21,0))</f>
        <v>1803</v>
      </c>
      <c r="H27" s="30" t="n">
        <f aca="false">G27</f>
        <v>1803</v>
      </c>
    </row>
    <row r="28" customFormat="false" ht="15" hidden="false" customHeight="true" outlineLevel="0" collapsed="false">
      <c r="A28" s="6" t="s">
        <v>99</v>
      </c>
      <c r="B28" s="22" t="n">
        <f aca="false">B9/B8</f>
        <v>0.153337739590218</v>
      </c>
      <c r="C28" s="22" t="n">
        <f aca="false">IF($B$4=1,C9/C8,$B9/$B8+$B$22*(C9/C8-$B9/$B8))</f>
        <v>0.159636599610642</v>
      </c>
      <c r="D28" s="22" t="n">
        <f aca="false">IF($B$4=1,D9/D8,$B9/$B8+$B$22*(D9/D8-$B9/$B8))</f>
        <v>0.163455562461156</v>
      </c>
      <c r="E28" s="22" t="n">
        <f aca="false">IF($B$4=1,E9/E8,$B9/$B8+$B$22*(E9/E8-$B9/$B8))</f>
        <v>0.169157202630006</v>
      </c>
      <c r="F28" s="22" t="n">
        <f aca="false">IF($B$4=1,F9/F8,$B9/$B8+$B$22*(F9/F8-$B9/$B8))</f>
        <v>0.175141242937853</v>
      </c>
      <c r="G28" s="22" t="n">
        <f aca="false">IF($B$4=1,G9/G8,$B9/$B8+$B$22*(G9/G8-$B9/$B8))</f>
        <v>0.180255130338325</v>
      </c>
      <c r="H28" s="22" t="n">
        <f aca="false">IF($B$4=1,G9/G8,$B9/$B8+$B$22*(G9/G8-$B9/$B8))</f>
        <v>0.180255130338325</v>
      </c>
    </row>
    <row r="29" customFormat="false" ht="15" hidden="false" customHeight="true" outlineLevel="0" collapsed="false">
      <c r="A29" s="17" t="s">
        <v>84</v>
      </c>
      <c r="B29" s="31" t="n">
        <f aca="false">B27*B28</f>
        <v>232</v>
      </c>
      <c r="C29" s="31" t="n">
        <f aca="false">C27*C28</f>
        <v>246</v>
      </c>
      <c r="D29" s="31" t="n">
        <f aca="false">D27*D28</f>
        <v>263</v>
      </c>
      <c r="E29" s="31" t="n">
        <f aca="false">E27*E28</f>
        <v>283</v>
      </c>
      <c r="F29" s="31" t="n">
        <f aca="false">F27*F28</f>
        <v>310</v>
      </c>
      <c r="G29" s="31" t="n">
        <f aca="false">G27*G28</f>
        <v>325</v>
      </c>
      <c r="H29" s="31" t="n">
        <f aca="false">H27*H28</f>
        <v>325</v>
      </c>
    </row>
    <row r="30" customFormat="false" ht="15" hidden="false" customHeight="true" outlineLevel="0" collapsed="false">
      <c r="A30" s="6" t="s">
        <v>100</v>
      </c>
      <c r="B30" s="30" t="n">
        <f aca="false">-B10</f>
        <v>-104</v>
      </c>
      <c r="C30" s="30" t="n">
        <f aca="false">-C10</f>
        <v>-107</v>
      </c>
      <c r="D30" s="30" t="n">
        <f aca="false">-D10</f>
        <v>-104</v>
      </c>
      <c r="E30" s="30" t="n">
        <f aca="false">-E10</f>
        <v>-104</v>
      </c>
      <c r="F30" s="30" t="n">
        <f aca="false">-F10</f>
        <v>-102</v>
      </c>
      <c r="G30" s="30" t="n">
        <f aca="false">-G10</f>
        <v>-102</v>
      </c>
      <c r="H30" s="30" t="n">
        <f aca="false">-H10</f>
        <v>-58</v>
      </c>
    </row>
    <row r="31" customFormat="false" ht="15" hidden="false" customHeight="true" outlineLevel="0" collapsed="false">
      <c r="A31" s="6" t="s">
        <v>101</v>
      </c>
      <c r="B31" s="30" t="n">
        <f aca="false">-B11</f>
        <v>-17</v>
      </c>
      <c r="C31" s="30" t="n">
        <f aca="false">-C11</f>
        <v>-17</v>
      </c>
      <c r="D31" s="30" t="n">
        <f aca="false">-D11</f>
        <v>-17</v>
      </c>
      <c r="E31" s="30" t="n">
        <f aca="false">-E11</f>
        <v>-17</v>
      </c>
      <c r="F31" s="30" t="n">
        <f aca="false">-F11</f>
        <v>-17</v>
      </c>
      <c r="G31" s="30" t="n">
        <f aca="false">-G11</f>
        <v>-17</v>
      </c>
      <c r="H31" s="30" t="n">
        <f aca="false">-H11</f>
        <v>-17</v>
      </c>
    </row>
    <row r="32" customFormat="false" ht="15" hidden="false" customHeight="true" outlineLevel="0" collapsed="false">
      <c r="A32" s="6" t="s">
        <v>102</v>
      </c>
      <c r="B32" s="30" t="n">
        <f aca="false">-B12</f>
        <v>-45</v>
      </c>
      <c r="C32" s="30" t="n">
        <f aca="false">-C12</f>
        <v>-25</v>
      </c>
      <c r="D32" s="30" t="n">
        <f aca="false">-D12</f>
        <v>-15</v>
      </c>
      <c r="E32" s="30" t="n">
        <f aca="false">-E12</f>
        <v>-15</v>
      </c>
      <c r="F32" s="30" t="n">
        <f aca="false">-F12</f>
        <v>-15</v>
      </c>
      <c r="G32" s="30" t="n">
        <f aca="false">-G12</f>
        <v>-15</v>
      </c>
      <c r="H32" s="30" t="n">
        <f aca="false">-H12</f>
        <v>-0</v>
      </c>
    </row>
    <row r="33" customFormat="false" ht="15" hidden="false" customHeight="true" outlineLevel="0" collapsed="false">
      <c r="A33" s="6" t="s">
        <v>103</v>
      </c>
      <c r="B33" s="30" t="n">
        <f aca="false">B13</f>
        <v>25</v>
      </c>
      <c r="C33" s="30" t="n">
        <f aca="false">C13</f>
        <v>0</v>
      </c>
      <c r="D33" s="30" t="n">
        <f aca="false">D13</f>
        <v>0</v>
      </c>
      <c r="E33" s="30" t="n">
        <f aca="false">E13</f>
        <v>0</v>
      </c>
      <c r="F33" s="30" t="n">
        <f aca="false">F13</f>
        <v>0</v>
      </c>
      <c r="G33" s="30" t="n">
        <f aca="false">G13</f>
        <v>0</v>
      </c>
      <c r="H33" s="30" t="n">
        <f aca="false">H13</f>
        <v>0</v>
      </c>
    </row>
    <row r="34" customFormat="false" ht="15" hidden="false" customHeight="true" outlineLevel="0" collapsed="false">
      <c r="A34" s="17" t="s">
        <v>104</v>
      </c>
      <c r="B34" s="31" t="n">
        <f aca="false">B29+B30+B31+B32+B33</f>
        <v>91</v>
      </c>
      <c r="C34" s="31" t="n">
        <f aca="false">C29+C30+C31+C32+C33</f>
        <v>97</v>
      </c>
      <c r="D34" s="31" t="n">
        <f aca="false">D29+D30+D31+D32+D33</f>
        <v>127</v>
      </c>
      <c r="E34" s="31" t="n">
        <f aca="false">E29+E30+E31+E32+E33</f>
        <v>147</v>
      </c>
      <c r="F34" s="31" t="n">
        <f aca="false">F29+F30+F31+F32+F33</f>
        <v>176</v>
      </c>
      <c r="G34" s="31" t="n">
        <f aca="false">G29+G30+G31+G32+G33</f>
        <v>191</v>
      </c>
      <c r="H34" s="31" t="n">
        <f aca="false">H29+H30+H31+H32+H33</f>
        <v>250</v>
      </c>
    </row>
    <row r="35" customFormat="false" ht="15" hidden="false" customHeight="true" outlineLevel="0" collapsed="false">
      <c r="A35" s="6" t="s">
        <v>105</v>
      </c>
      <c r="B35" s="30" t="n">
        <f aca="false">-MAX(0,B34)*B14</f>
        <v>-9.1</v>
      </c>
      <c r="C35" s="30" t="n">
        <f aca="false">-MAX(0,C34)*C14</f>
        <v>-26.869</v>
      </c>
      <c r="D35" s="30" t="n">
        <f aca="false">-MAX(0,D34)*D14</f>
        <v>-35.179</v>
      </c>
      <c r="E35" s="30" t="n">
        <f aca="false">-MAX(0,E34)*E14</f>
        <v>-40.719</v>
      </c>
      <c r="F35" s="30" t="n">
        <f aca="false">-MAX(0,F34)*F14</f>
        <v>-48.752</v>
      </c>
      <c r="G35" s="30" t="n">
        <f aca="false">-MAX(0,G34)*G14</f>
        <v>-52.907</v>
      </c>
      <c r="H35" s="30" t="n">
        <f aca="false">-MAX(0,H34)*H14</f>
        <v>-69.25</v>
      </c>
    </row>
    <row r="36" customFormat="false" ht="15" hidden="false" customHeight="true" outlineLevel="0" collapsed="false">
      <c r="A36" s="17" t="s">
        <v>106</v>
      </c>
      <c r="B36" s="31" t="n">
        <f aca="false">B34+B35</f>
        <v>81.9</v>
      </c>
      <c r="C36" s="31" t="n">
        <f aca="false">C34+C35</f>
        <v>70.131</v>
      </c>
      <c r="D36" s="31" t="n">
        <f aca="false">D34+D35</f>
        <v>91.821</v>
      </c>
      <c r="E36" s="31" t="n">
        <f aca="false">E34+E35</f>
        <v>106.281</v>
      </c>
      <c r="F36" s="31" t="n">
        <f aca="false">F34+F35</f>
        <v>127.248</v>
      </c>
      <c r="G36" s="31" t="n">
        <f aca="false">G34+G35</f>
        <v>138.093</v>
      </c>
      <c r="H36" s="31" t="n">
        <f aca="false">H34+H35</f>
        <v>180.75</v>
      </c>
    </row>
    <row r="37" customFormat="false" ht="15" hidden="false" customHeight="true" outlineLevel="0" collapsed="false">
      <c r="A37" s="6" t="s">
        <v>107</v>
      </c>
      <c r="B37" s="30" t="n">
        <f aca="false">-B30</f>
        <v>104</v>
      </c>
      <c r="C37" s="30" t="n">
        <f aca="false">-C30</f>
        <v>107</v>
      </c>
      <c r="D37" s="30" t="n">
        <f aca="false">-D30</f>
        <v>104</v>
      </c>
      <c r="E37" s="30" t="n">
        <f aca="false">-E30</f>
        <v>104</v>
      </c>
      <c r="F37" s="30" t="n">
        <f aca="false">-F30</f>
        <v>102</v>
      </c>
      <c r="G37" s="30" t="n">
        <f aca="false">-G30</f>
        <v>102</v>
      </c>
      <c r="H37" s="30" t="n">
        <f aca="false">-H30</f>
        <v>58</v>
      </c>
    </row>
    <row r="38" customFormat="false" ht="15" hidden="false" customHeight="true" outlineLevel="0" collapsed="false">
      <c r="A38" s="6" t="s">
        <v>108</v>
      </c>
      <c r="B38" s="30" t="n">
        <f aca="false">-B15</f>
        <v>-61</v>
      </c>
      <c r="C38" s="30" t="n">
        <f aca="false">-C15</f>
        <v>-42</v>
      </c>
      <c r="D38" s="30" t="n">
        <f aca="false">-D15</f>
        <v>-48</v>
      </c>
      <c r="E38" s="30" t="n">
        <f aca="false">-E15</f>
        <v>-50</v>
      </c>
      <c r="F38" s="30" t="n">
        <f aca="false">-F15</f>
        <v>-52</v>
      </c>
      <c r="G38" s="30" t="n">
        <f aca="false">-G15</f>
        <v>-52</v>
      </c>
      <c r="H38" s="30" t="n">
        <f aca="false">-H15</f>
        <v>-52</v>
      </c>
    </row>
    <row r="39" customFormat="false" ht="15" hidden="false" customHeight="true" outlineLevel="0" collapsed="false">
      <c r="A39" s="6" t="s">
        <v>109</v>
      </c>
      <c r="B39" s="30" t="n">
        <f aca="false">-B16</f>
        <v>-20</v>
      </c>
      <c r="C39" s="30" t="n">
        <f aca="false">-C16</f>
        <v>-11</v>
      </c>
      <c r="D39" s="30" t="n">
        <f aca="false">-D16</f>
        <v>-9</v>
      </c>
      <c r="E39" s="30" t="n">
        <f aca="false">-E16</f>
        <v>-8</v>
      </c>
      <c r="F39" s="30" t="n">
        <f aca="false">-F16</f>
        <v>-6</v>
      </c>
      <c r="G39" s="30" t="n">
        <f aca="false">-G16</f>
        <v>-6</v>
      </c>
      <c r="H39" s="30" t="n">
        <f aca="false">-H16</f>
        <v>-6</v>
      </c>
    </row>
    <row r="40" customFormat="false" ht="15" hidden="false" customHeight="true" outlineLevel="0" collapsed="false">
      <c r="A40" s="6" t="s">
        <v>110</v>
      </c>
      <c r="B40" s="30" t="n">
        <f aca="false">-B17</f>
        <v>-0</v>
      </c>
      <c r="C40" s="30" t="n">
        <f aca="false">-C17</f>
        <v>-8</v>
      </c>
      <c r="D40" s="30" t="n">
        <f aca="false">-D17</f>
        <v>-8</v>
      </c>
      <c r="E40" s="30" t="n">
        <f aca="false">-E17</f>
        <v>-8</v>
      </c>
      <c r="F40" s="30" t="n">
        <f aca="false">-F17</f>
        <v>-8</v>
      </c>
      <c r="G40" s="30" t="n">
        <f aca="false">-G17</f>
        <v>-9</v>
      </c>
      <c r="H40" s="30" t="n">
        <f aca="false">-H17</f>
        <v>-5</v>
      </c>
    </row>
    <row r="41" customFormat="false" ht="15" hidden="false" customHeight="true" outlineLevel="0" collapsed="false">
      <c r="A41" s="17" t="s">
        <v>111</v>
      </c>
      <c r="B41" s="31" t="n">
        <f aca="false">B36+B37+B38+B39+B40</f>
        <v>104.9</v>
      </c>
      <c r="C41" s="31" t="n">
        <f aca="false">C36+C37+C38+C39+C40</f>
        <v>116.131</v>
      </c>
      <c r="D41" s="31" t="n">
        <f aca="false">D36+D37+D38+D39+D40</f>
        <v>130.821</v>
      </c>
      <c r="E41" s="31" t="n">
        <f aca="false">E36+E37+E38+E39+E40</f>
        <v>144.281</v>
      </c>
      <c r="F41" s="31" t="n">
        <f aca="false">F36+F37+F38+F39+F40</f>
        <v>163.248</v>
      </c>
      <c r="G41" s="31" t="n">
        <f aca="false">G36+G37+G38+G39+G40</f>
        <v>173.093</v>
      </c>
      <c r="H41" s="31" t="n">
        <f aca="false">H36+H37+H38+H39+H40</f>
        <v>175.75</v>
      </c>
    </row>
    <row r="42" customFormat="false" ht="15" hidden="false" customHeight="true" outlineLevel="0" collapsed="false">
      <c r="A42" s="3" t="s">
        <v>112</v>
      </c>
    </row>
    <row r="44" customFormat="false" ht="15" hidden="false" customHeight="true" outlineLevel="0" collapsed="false">
      <c r="A44" s="4" t="s">
        <v>113</v>
      </c>
      <c r="B44" s="5"/>
      <c r="C44" s="5"/>
      <c r="D44" s="5"/>
      <c r="E44" s="5"/>
      <c r="F44" s="5"/>
      <c r="G44" s="5"/>
      <c r="H44" s="5"/>
    </row>
    <row r="45" customFormat="false" ht="15" hidden="false" customHeight="true" outlineLevel="0" collapsed="false">
      <c r="A45" s="6" t="s">
        <v>114</v>
      </c>
      <c r="B45" s="28" t="n">
        <v>0.0457</v>
      </c>
      <c r="C45" s="3" t="s">
        <v>115</v>
      </c>
    </row>
    <row r="46" customFormat="false" ht="15" hidden="false" customHeight="true" outlineLevel="0" collapsed="false">
      <c r="A46" s="6" t="s">
        <v>116</v>
      </c>
      <c r="B46" s="32" t="n">
        <v>0.63</v>
      </c>
      <c r="C46" s="3" t="s">
        <v>117</v>
      </c>
    </row>
    <row r="47" customFormat="false" ht="15" hidden="false" customHeight="true" outlineLevel="0" collapsed="false">
      <c r="A47" s="6" t="s">
        <v>118</v>
      </c>
      <c r="B47" s="28" t="n">
        <v>0.35</v>
      </c>
      <c r="C47" s="3" t="s">
        <v>119</v>
      </c>
    </row>
    <row r="48" customFormat="false" ht="15" hidden="false" customHeight="true" outlineLevel="0" collapsed="false">
      <c r="A48" s="6" t="s">
        <v>120</v>
      </c>
      <c r="B48" s="28" t="n">
        <v>0.277</v>
      </c>
      <c r="C48" s="3" t="s">
        <v>121</v>
      </c>
    </row>
    <row r="49" customFormat="false" ht="15" hidden="false" customHeight="true" outlineLevel="0" collapsed="false">
      <c r="A49" s="6" t="s">
        <v>122</v>
      </c>
      <c r="B49" s="33" t="n">
        <f aca="false">B46*(1+(1-B48)*B47/(1-B47))</f>
        <v>0.875263846153846</v>
      </c>
    </row>
    <row r="50" customFormat="false" ht="15" hidden="false" customHeight="true" outlineLevel="0" collapsed="false">
      <c r="A50" s="6" t="s">
        <v>123</v>
      </c>
      <c r="B50" s="29" t="n">
        <v>0.055</v>
      </c>
      <c r="C50" s="3" t="s">
        <v>124</v>
      </c>
    </row>
    <row r="51" customFormat="false" ht="15" hidden="false" customHeight="true" outlineLevel="0" collapsed="false">
      <c r="A51" s="17" t="s">
        <v>125</v>
      </c>
      <c r="B51" s="22" t="n">
        <f aca="false">B45+B49*B50</f>
        <v>0.0938395115384615</v>
      </c>
    </row>
    <row r="52" customFormat="false" ht="15" hidden="false" customHeight="true" outlineLevel="0" collapsed="false">
      <c r="A52" s="6" t="s">
        <v>126</v>
      </c>
      <c r="B52" s="28" t="n">
        <v>0.078</v>
      </c>
      <c r="C52" s="3" t="s">
        <v>127</v>
      </c>
    </row>
    <row r="53" customFormat="false" ht="15" hidden="false" customHeight="true" outlineLevel="0" collapsed="false">
      <c r="A53" s="6" t="s">
        <v>128</v>
      </c>
      <c r="B53" s="22" t="n">
        <f aca="false">B52*(1-B48)</f>
        <v>0.056394</v>
      </c>
    </row>
    <row r="54" customFormat="false" ht="15" hidden="false" customHeight="true" outlineLevel="0" collapsed="false">
      <c r="A54" s="17" t="s">
        <v>129</v>
      </c>
      <c r="B54" s="21" t="n">
        <f aca="false">(1-B47)*B51+B47*B53</f>
        <v>0.0807335825</v>
      </c>
    </row>
    <row r="55" customFormat="false" ht="15" hidden="false" customHeight="true" outlineLevel="0" collapsed="false">
      <c r="A55" s="6" t="s">
        <v>130</v>
      </c>
      <c r="B55" s="29" t="n">
        <v>0.02</v>
      </c>
      <c r="C55" s="3" t="s">
        <v>131</v>
      </c>
    </row>
    <row r="57" customFormat="false" ht="15" hidden="false" customHeight="true" outlineLevel="0" collapsed="false">
      <c r="A57" s="4" t="s">
        <v>132</v>
      </c>
      <c r="B57" s="5"/>
      <c r="C57" s="5"/>
      <c r="D57" s="5"/>
      <c r="E57" s="5"/>
      <c r="F57" s="5"/>
      <c r="G57" s="5"/>
      <c r="H57" s="5"/>
    </row>
    <row r="58" customFormat="false" ht="15" hidden="false" customHeight="true" outlineLevel="0" collapsed="false">
      <c r="A58" s="23" t="s">
        <v>74</v>
      </c>
      <c r="B58" s="24" t="s">
        <v>133</v>
      </c>
      <c r="C58" s="24" t="s">
        <v>76</v>
      </c>
      <c r="D58" s="24" t="s">
        <v>77</v>
      </c>
      <c r="E58" s="24" t="s">
        <v>78</v>
      </c>
      <c r="F58" s="24" t="s">
        <v>79</v>
      </c>
      <c r="G58" s="24" t="s">
        <v>80</v>
      </c>
    </row>
    <row r="59" customFormat="false" ht="15" hidden="false" customHeight="true" outlineLevel="0" collapsed="false">
      <c r="A59" s="6" t="s">
        <v>134</v>
      </c>
      <c r="B59" s="34" t="n">
        <f aca="false">B41*0.5</f>
        <v>52.45</v>
      </c>
      <c r="C59" s="34" t="n">
        <f aca="false">C41</f>
        <v>116.131</v>
      </c>
      <c r="D59" s="34" t="n">
        <f aca="false">D41</f>
        <v>130.821</v>
      </c>
      <c r="E59" s="34" t="n">
        <f aca="false">E41</f>
        <v>144.281</v>
      </c>
      <c r="F59" s="34" t="n">
        <f aca="false">F41</f>
        <v>163.248</v>
      </c>
      <c r="G59" s="34" t="n">
        <f aca="false">G41</f>
        <v>173.093</v>
      </c>
    </row>
    <row r="60" customFormat="false" ht="15" hidden="false" customHeight="true" outlineLevel="0" collapsed="false">
      <c r="A60" s="6" t="s">
        <v>135</v>
      </c>
      <c r="B60" s="32" t="n">
        <v>0.25</v>
      </c>
      <c r="C60" s="32" t="n">
        <v>1</v>
      </c>
      <c r="D60" s="32" t="n">
        <v>2</v>
      </c>
      <c r="E60" s="32" t="n">
        <v>3</v>
      </c>
      <c r="F60" s="32" t="n">
        <v>4</v>
      </c>
      <c r="G60" s="32" t="n">
        <v>5</v>
      </c>
    </row>
    <row r="61" customFormat="false" ht="15" hidden="false" customHeight="true" outlineLevel="0" collapsed="false">
      <c r="A61" s="6" t="s">
        <v>136</v>
      </c>
      <c r="B61" s="35" t="n">
        <f aca="false">1/(1+$B$54)^B60</f>
        <v>0.980777148016147</v>
      </c>
      <c r="C61" s="35" t="n">
        <f aca="false">1/(1+$B$54)^C60</f>
        <v>0.925297424076299</v>
      </c>
      <c r="D61" s="35" t="n">
        <f aca="false">1/(1+$B$54)^D60</f>
        <v>0.856175323002234</v>
      </c>
      <c r="E61" s="35" t="n">
        <f aca="false">1/(1+$B$54)^E60</f>
        <v>0.79221682093166</v>
      </c>
      <c r="F61" s="35" t="n">
        <f aca="false">1/(1+$B$54)^F60</f>
        <v>0.733036183717979</v>
      </c>
      <c r="G61" s="35" t="n">
        <f aca="false">1/(1+$B$54)^G60</f>
        <v>0.678276492548967</v>
      </c>
    </row>
    <row r="62" customFormat="false" ht="15" hidden="false" customHeight="true" outlineLevel="0" collapsed="false">
      <c r="A62" s="17" t="s">
        <v>137</v>
      </c>
      <c r="B62" s="36" t="n">
        <f aca="false">B59*B61</f>
        <v>51.4417614134469</v>
      </c>
      <c r="C62" s="36" t="n">
        <f aca="false">C59*C61</f>
        <v>107.455715155405</v>
      </c>
      <c r="D62" s="36" t="n">
        <f aca="false">D59*D61</f>
        <v>112.005711930475</v>
      </c>
      <c r="E62" s="36" t="n">
        <f aca="false">E59*E61</f>
        <v>114.301835140841</v>
      </c>
      <c r="F62" s="36" t="n">
        <f aca="false">F59*F61</f>
        <v>119.666690919593</v>
      </c>
      <c r="G62" s="36" t="n">
        <f aca="false">G59*G61</f>
        <v>117.404912924778</v>
      </c>
    </row>
    <row r="64" customFormat="false" ht="15" hidden="false" customHeight="true" outlineLevel="0" collapsed="false">
      <c r="A64" s="6" t="s">
        <v>138</v>
      </c>
      <c r="B64" s="30" t="n">
        <f aca="false">SUM(B62:G62)</f>
        <v>622.276627484539</v>
      </c>
    </row>
    <row r="65" customFormat="false" ht="15" hidden="false" customHeight="true" outlineLevel="0" collapsed="false">
      <c r="A65" s="6" t="s">
        <v>139</v>
      </c>
      <c r="B65" s="30" t="n">
        <f aca="false">H41*(1+B55)/(B54-B55)</f>
        <v>2951.66187504253</v>
      </c>
    </row>
    <row r="66" customFormat="false" ht="15" hidden="false" customHeight="true" outlineLevel="0" collapsed="false">
      <c r="A66" s="6" t="s">
        <v>140</v>
      </c>
      <c r="B66" s="30" t="n">
        <f aca="false">B65/(1+B54)^5.5</f>
        <v>1925.81270747406</v>
      </c>
    </row>
    <row r="67" customFormat="false" ht="15" hidden="false" customHeight="true" outlineLevel="0" collapsed="false">
      <c r="A67" s="17" t="s">
        <v>141</v>
      </c>
      <c r="B67" s="31" t="n">
        <f aca="false">B64+B66</f>
        <v>2548.0893349586</v>
      </c>
    </row>
    <row r="68" customFormat="false" ht="15" hidden="false" customHeight="true" outlineLevel="0" collapsed="false">
      <c r="A68" s="6" t="s">
        <v>142</v>
      </c>
      <c r="B68" s="37" t="n">
        <f aca="false">-'Deal &amp; Inputs'!$B$14</f>
        <v>-791</v>
      </c>
    </row>
    <row r="69" customFormat="false" ht="15" hidden="false" customHeight="true" outlineLevel="0" collapsed="false">
      <c r="A69" s="17" t="s">
        <v>143</v>
      </c>
      <c r="B69" s="31" t="n">
        <f aca="false">B67+B68</f>
        <v>1757.0893349586</v>
      </c>
    </row>
    <row r="70" customFormat="false" ht="15" hidden="false" customHeight="true" outlineLevel="0" collapsed="false">
      <c r="A70" s="6" t="s">
        <v>31</v>
      </c>
      <c r="B70" s="38" t="n">
        <f aca="false">'Deal &amp; Inputs'!$B$11</f>
        <v>146.1</v>
      </c>
    </row>
    <row r="71" customFormat="false" ht="15" hidden="false" customHeight="true" outlineLevel="0" collapsed="false">
      <c r="A71" s="17" t="s">
        <v>144</v>
      </c>
      <c r="B71" s="39" t="n">
        <f aca="false">B69/B70</f>
        <v>12.0266210469446</v>
      </c>
    </row>
    <row r="72" customFormat="false" ht="15" hidden="false" customHeight="true" outlineLevel="0" collapsed="false">
      <c r="A72" s="6" t="s">
        <v>145</v>
      </c>
      <c r="B72" s="40" t="n">
        <f aca="false">'Deal &amp; Inputs'!$B$4</f>
        <v>14.25</v>
      </c>
    </row>
    <row r="73" customFormat="false" ht="15" hidden="false" customHeight="true" outlineLevel="0" collapsed="false">
      <c r="A73" s="17" t="s">
        <v>146</v>
      </c>
      <c r="B73" s="21" t="n">
        <f aca="false">B72/B71-1</f>
        <v>0.184871456777153</v>
      </c>
    </row>
    <row r="74" customFormat="false" ht="15" hidden="false" customHeight="true" outlineLevel="0" collapsed="false">
      <c r="A74" s="6" t="s">
        <v>147</v>
      </c>
      <c r="B74" s="22" t="n">
        <f aca="false">B66/B67</f>
        <v>0.755786965964187</v>
      </c>
    </row>
    <row r="75" customFormat="false" ht="15" hidden="false" customHeight="true" outlineLevel="0" collapsed="false">
      <c r="A75" s="6" t="s">
        <v>148</v>
      </c>
      <c r="B75" s="41" t="n">
        <f aca="false">B67/'Deal &amp; Inputs'!$B$16</f>
        <v>11.2597849534185</v>
      </c>
    </row>
    <row r="77" customFormat="false" ht="15" hidden="false" customHeight="true" outlineLevel="0" collapsed="false">
      <c r="A77" s="4" t="s">
        <v>149</v>
      </c>
      <c r="B77" s="5"/>
      <c r="C77" s="5"/>
      <c r="D77" s="5"/>
      <c r="E77" s="5"/>
      <c r="F77" s="5"/>
      <c r="G77" s="5"/>
      <c r="H77" s="5"/>
    </row>
    <row r="78" customFormat="false" ht="15" hidden="false" customHeight="true" outlineLevel="0" collapsed="false">
      <c r="A78" s="3" t="s">
        <v>150</v>
      </c>
      <c r="B78" s="42" t="n">
        <f aca="false">$B$55+(-0.005)</f>
        <v>0.015</v>
      </c>
      <c r="C78" s="42" t="n">
        <f aca="false">$B$55+(0)</f>
        <v>0.02</v>
      </c>
      <c r="D78" s="42" t="n">
        <f aca="false">$B$55+(0.005)</f>
        <v>0.025</v>
      </c>
    </row>
    <row r="79" customFormat="false" ht="15" hidden="false" customHeight="true" outlineLevel="0" collapsed="false">
      <c r="A79" s="43" t="n">
        <f aca="false">ROUND($B$54,4)+(-0.005)</f>
        <v>0.0757</v>
      </c>
      <c r="B79" s="44" t="n">
        <f aca="false">(SUMPRODUCT($B$59:$G$59,1/(1+$A79)^$B$60:$G$60)+$H$41*(1+B$78)/($A79-B$78)/(1+$A79)^5.5+$B$68)/$B$70</f>
        <v>12.3671024239362</v>
      </c>
      <c r="C79" s="44" t="n">
        <f aca="false">(SUMPRODUCT($B$59:$G$59,1/(1+$A79)^$B$60:$G$60)+$H$41*(1+C$78)/($A79-C$78)/(1+$A79)^5.5+$B$68)/$B$70</f>
        <v>13.6481373693061</v>
      </c>
      <c r="D79" s="44" t="n">
        <f aca="false">(SUMPRODUCT($B$59:$G$59,1/(1+$A79)^$B$60:$G$60)+$H$41*(1+D$78)/($A79-D$78)/(1+$A79)^5.5+$B$68)/$B$70</f>
        <v>15.1818419291474</v>
      </c>
    </row>
    <row r="80" customFormat="false" ht="15" hidden="false" customHeight="true" outlineLevel="0" collapsed="false">
      <c r="A80" s="43" t="n">
        <f aca="false">ROUND($B$54,4)+(0)</f>
        <v>0.0807</v>
      </c>
      <c r="B80" s="44" t="n">
        <f aca="false">(SUMPRODUCT($B$59:$G$59,1/(1+$A80)^$B$60:$G$60)+$H$41*(1+B$78)/($A80-B$78)/(1+$A80)^5.5+$B$68)/$B$70</f>
        <v>10.9729174715012</v>
      </c>
      <c r="C80" s="44" t="n">
        <f aca="false">(SUMPRODUCT($B$59:$G$59,1/(1+$A80)^$B$60:$G$60)+$H$41*(1+C$78)/($A80-C$78)/(1+$A80)^5.5+$B$68)/$B$70</f>
        <v>12.0365408629135</v>
      </c>
      <c r="D80" s="44" t="n">
        <f aca="false">(SUMPRODUCT($B$59:$G$59,1/(1+$A80)^$B$60:$G$60)+$H$41*(1+D$78)/($A80-D$78)/(1+$A80)^5.5+$B$68)/$B$70</f>
        <v>13.2911199798936</v>
      </c>
    </row>
    <row r="81" customFormat="false" ht="15" hidden="false" customHeight="true" outlineLevel="0" collapsed="false">
      <c r="A81" s="43" t="n">
        <f aca="false">ROUND($B$54,4)+(0.005)</f>
        <v>0.0857</v>
      </c>
      <c r="B81" s="44" t="n">
        <f aca="false">(SUMPRODUCT($B$59:$G$59,1/(1+$A81)^$B$60:$G$60)+$H$41*(1+B$78)/($A81-B$78)/(1+$A81)^5.5+$B$68)/$B$70</f>
        <v>9.77781705583058</v>
      </c>
      <c r="C81" s="44" t="n">
        <f aca="false">(SUMPRODUCT($B$59:$G$59,1/(1+$A81)^$B$60:$G$60)+$H$41*(1+C$78)/($A81-C$78)/(1+$A81)^5.5+$B$68)/$B$70</f>
        <v>10.6722258660611</v>
      </c>
      <c r="D81" s="44" t="n">
        <f aca="false">(SUMPRODUCT($B$59:$G$59,1/(1+$A81)^$B$60:$G$60)+$H$41*(1+D$78)/($A81-D$78)/(1+$A81)^5.5+$B$68)/$B$70</f>
        <v>11.7139837389325</v>
      </c>
    </row>
  </sheetData>
  <dataValidations count="1">
    <dataValidation allowBlank="false" errorStyle="stop" operator="between" showDropDown="false" showErrorMessage="false" showInputMessage="false" sqref="B4" type="list">
      <formula1>"1,2"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10" min="2" style="1" width="13"/>
  </cols>
  <sheetData>
    <row r="1" customFormat="false" ht="17.25" hidden="false" customHeight="true" outlineLevel="0" collapsed="false">
      <c r="A1" s="12" t="s">
        <v>151</v>
      </c>
    </row>
    <row r="2" customFormat="false" ht="15" hidden="false" customHeight="true" outlineLevel="0" collapsed="false">
      <c r="A2" s="3" t="s">
        <v>152</v>
      </c>
    </row>
    <row r="4" customFormat="false" ht="23.25" hidden="false" customHeight="true" outlineLevel="0" collapsed="false">
      <c r="A4" s="23" t="s">
        <v>153</v>
      </c>
      <c r="B4" s="24" t="s">
        <v>154</v>
      </c>
      <c r="C4" s="24" t="s">
        <v>155</v>
      </c>
      <c r="D4" s="24" t="s">
        <v>156</v>
      </c>
      <c r="E4" s="24" t="s">
        <v>141</v>
      </c>
      <c r="F4" s="24" t="s">
        <v>157</v>
      </c>
      <c r="G4" s="24" t="s">
        <v>158</v>
      </c>
      <c r="H4" s="24" t="s">
        <v>159</v>
      </c>
      <c r="I4" s="24" t="s">
        <v>160</v>
      </c>
      <c r="J4" s="24" t="s">
        <v>161</v>
      </c>
    </row>
    <row r="5" customFormat="false" ht="15" hidden="false" customHeight="true" outlineLevel="0" collapsed="false">
      <c r="A5" s="4" t="s">
        <v>162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15" hidden="false" customHeight="true" outlineLevel="0" collapsed="false">
      <c r="A6" s="6" t="s">
        <v>163</v>
      </c>
      <c r="B6" s="6" t="s">
        <v>164</v>
      </c>
      <c r="C6" s="13" t="n">
        <v>78.53</v>
      </c>
      <c r="D6" s="27" t="n">
        <v>3450</v>
      </c>
      <c r="E6" s="27" t="n">
        <v>10820</v>
      </c>
      <c r="F6" s="27" t="n">
        <v>8410</v>
      </c>
      <c r="G6" s="27" t="n">
        <v>1450</v>
      </c>
      <c r="H6" s="45" t="n">
        <f aca="false">E6/F6</f>
        <v>1.28656361474435</v>
      </c>
      <c r="I6" s="45" t="n">
        <f aca="false">E6/G6</f>
        <v>7.46206896551724</v>
      </c>
      <c r="J6" s="25" t="n">
        <f aca="false">G6/F6</f>
        <v>0.172413793103448</v>
      </c>
    </row>
    <row r="7" customFormat="false" ht="15" hidden="false" customHeight="true" outlineLevel="0" collapsed="false">
      <c r="A7" s="6" t="s">
        <v>165</v>
      </c>
      <c r="B7" s="6" t="s">
        <v>166</v>
      </c>
      <c r="C7" s="13" t="n">
        <v>104.47</v>
      </c>
      <c r="D7" s="27" t="n">
        <v>2850</v>
      </c>
      <c r="E7" s="27" t="n">
        <v>3080</v>
      </c>
      <c r="F7" s="27" t="n">
        <v>1930</v>
      </c>
      <c r="G7" s="27" t="n">
        <v>305.19</v>
      </c>
      <c r="H7" s="45" t="n">
        <f aca="false">E7/F7</f>
        <v>1.59585492227979</v>
      </c>
      <c r="I7" s="45" t="n">
        <f aca="false">E7/G7</f>
        <v>10.092073790098</v>
      </c>
      <c r="J7" s="25" t="n">
        <f aca="false">G7/F7</f>
        <v>0.158129533678756</v>
      </c>
    </row>
    <row r="8" customFormat="false" ht="15" hidden="false" customHeight="true" outlineLevel="0" collapsed="false">
      <c r="A8" s="6" t="s">
        <v>167</v>
      </c>
      <c r="B8" s="6" t="s">
        <v>168</v>
      </c>
      <c r="C8" s="13" t="n">
        <v>6.11</v>
      </c>
      <c r="D8" s="27" t="n">
        <v>1300</v>
      </c>
      <c r="E8" s="27" t="n">
        <v>3250</v>
      </c>
      <c r="F8" s="27" t="n">
        <v>5220</v>
      </c>
      <c r="G8" s="27" t="n">
        <v>486.93</v>
      </c>
      <c r="H8" s="45" t="n">
        <f aca="false">E8/F8</f>
        <v>0.622605363984674</v>
      </c>
      <c r="I8" s="45" t="n">
        <f aca="false">E8/G8</f>
        <v>6.67447066313433</v>
      </c>
      <c r="J8" s="25" t="n">
        <f aca="false">G8/F8</f>
        <v>0.0932816091954023</v>
      </c>
    </row>
    <row r="9" customFormat="false" ht="15" hidden="false" customHeight="true" outlineLevel="0" collapsed="false">
      <c r="A9" s="6" t="s">
        <v>169</v>
      </c>
      <c r="B9" s="6" t="s">
        <v>170</v>
      </c>
      <c r="C9" s="13" t="n">
        <v>9.43</v>
      </c>
      <c r="D9" s="27" t="n">
        <v>1100</v>
      </c>
      <c r="E9" s="27" t="n">
        <v>2220</v>
      </c>
      <c r="F9" s="27" t="n">
        <v>2350</v>
      </c>
      <c r="G9" s="27" t="n">
        <v>331.9</v>
      </c>
      <c r="H9" s="45" t="n">
        <f aca="false">E9/F9</f>
        <v>0.94468085106383</v>
      </c>
      <c r="I9" s="45" t="n">
        <f aca="false">E9/G9</f>
        <v>6.68876167520338</v>
      </c>
      <c r="J9" s="25" t="n">
        <f aca="false">G9/F9</f>
        <v>0.141234042553191</v>
      </c>
    </row>
    <row r="10" customFormat="false" ht="15" hidden="false" customHeight="true" outlineLevel="0" collapsed="false">
      <c r="A10" s="6" t="s">
        <v>171</v>
      </c>
      <c r="B10" s="6" t="s">
        <v>172</v>
      </c>
      <c r="C10" s="13" t="n">
        <v>2.4</v>
      </c>
      <c r="D10" s="27" t="n">
        <v>195.06</v>
      </c>
      <c r="E10" s="27" t="n">
        <v>2180</v>
      </c>
      <c r="F10" s="27" t="n">
        <v>1770</v>
      </c>
      <c r="G10" s="27" t="n">
        <v>258.69</v>
      </c>
      <c r="H10" s="45" t="n">
        <f aca="false">E10/F10</f>
        <v>1.2316384180791</v>
      </c>
      <c r="I10" s="45" t="n">
        <f aca="false">E10/G10</f>
        <v>8.42707487726623</v>
      </c>
      <c r="J10" s="25" t="n">
        <f aca="false">G10/F10</f>
        <v>0.146152542372881</v>
      </c>
    </row>
    <row r="11" customFormat="false" ht="15" hidden="false" customHeight="true" outlineLevel="0" collapsed="false">
      <c r="A11" s="6" t="s">
        <v>173</v>
      </c>
      <c r="B11" s="6" t="s">
        <v>174</v>
      </c>
      <c r="C11" s="13" t="n">
        <v>11.2</v>
      </c>
      <c r="D11" s="27" t="n">
        <v>989.87</v>
      </c>
      <c r="E11" s="27" t="n">
        <v>1310</v>
      </c>
      <c r="F11" s="27" t="n">
        <v>1390</v>
      </c>
      <c r="G11" s="27" t="n">
        <v>217.48</v>
      </c>
      <c r="H11" s="45" t="n">
        <f aca="false">E11/F11</f>
        <v>0.942446043165468</v>
      </c>
      <c r="I11" s="45" t="n">
        <f aca="false">E11/G11</f>
        <v>6.02354239470296</v>
      </c>
      <c r="J11" s="25" t="n">
        <f aca="false">G11/F11</f>
        <v>0.156460431654676</v>
      </c>
    </row>
    <row r="12" customFormat="false" ht="15" hidden="false" customHeight="true" outlineLevel="0" collapsed="false">
      <c r="A12" s="6" t="s">
        <v>175</v>
      </c>
      <c r="B12" s="6" t="s">
        <v>176</v>
      </c>
      <c r="C12" s="13" t="n">
        <v>78.75</v>
      </c>
      <c r="D12" s="27" t="n">
        <v>1470</v>
      </c>
      <c r="E12" s="27" t="n">
        <v>1600</v>
      </c>
      <c r="F12" s="27" t="n">
        <v>1520</v>
      </c>
      <c r="G12" s="27" t="n">
        <v>155.78</v>
      </c>
      <c r="H12" s="45" t="n">
        <f aca="false">E12/F12</f>
        <v>1.05263157894737</v>
      </c>
      <c r="I12" s="45" t="n">
        <f aca="false">E12/G12</f>
        <v>10.270894851714</v>
      </c>
      <c r="J12" s="25" t="n">
        <f aca="false">G12/F12</f>
        <v>0.102486842105263</v>
      </c>
    </row>
    <row r="13" customFormat="false" ht="15" hidden="false" customHeight="true" outlineLevel="0" collapsed="false">
      <c r="A13" s="17" t="s">
        <v>177</v>
      </c>
      <c r="H13" s="46" t="n">
        <f aca="false">MEDIAN(H6:H12)</f>
        <v>1.05263157894737</v>
      </c>
      <c r="I13" s="46" t="n">
        <f aca="false">MEDIAN(I6:I12)</f>
        <v>7.46206896551724</v>
      </c>
      <c r="J13" s="47" t="n">
        <f aca="false">MEDIAN(J6:J12)</f>
        <v>0.146152542372881</v>
      </c>
    </row>
    <row r="14" customFormat="false" ht="15" hidden="false" customHeight="true" outlineLevel="0" collapsed="false">
      <c r="A14" s="17" t="s">
        <v>178</v>
      </c>
      <c r="H14" s="48" t="n">
        <f aca="false">QUARTILE(H6:H12,1)</f>
        <v>0.943563447114649</v>
      </c>
      <c r="I14" s="48" t="n">
        <f aca="false">QUARTILE(I6:I12,1)</f>
        <v>6.68161616916885</v>
      </c>
      <c r="J14" s="49" t="n">
        <f aca="false">QUARTILE(J6:J12,1)</f>
        <v>0.121860442329227</v>
      </c>
    </row>
    <row r="15" customFormat="false" ht="15" hidden="false" customHeight="true" outlineLevel="0" collapsed="false">
      <c r="A15" s="17" t="s">
        <v>179</v>
      </c>
      <c r="H15" s="48" t="n">
        <f aca="false">QUARTILE(H6:H12,3)</f>
        <v>1.25910101641172</v>
      </c>
      <c r="I15" s="48" t="n">
        <f aca="false">QUARTILE(I6:I12,3)</f>
        <v>9.2595743336821</v>
      </c>
      <c r="J15" s="49" t="n">
        <f aca="false">QUARTILE(J6:J12,3)</f>
        <v>0.157294982666716</v>
      </c>
    </row>
    <row r="16" customFormat="false" ht="15" hidden="false" customHeight="true" outlineLevel="0" collapsed="false">
      <c r="A16" s="17" t="s">
        <v>180</v>
      </c>
      <c r="H16" s="48" t="n">
        <f aca="false">AVERAGE(H6:H12)</f>
        <v>1.09663154175208</v>
      </c>
      <c r="I16" s="48" t="n">
        <f aca="false">AVERAGE(I6:I12)</f>
        <v>7.94841245966229</v>
      </c>
      <c r="J16" s="49" t="n">
        <f aca="false">AVERAGE(J6:J12)</f>
        <v>0.138594113523374</v>
      </c>
    </row>
    <row r="18" customFormat="false" ht="15" hidden="false" customHeight="true" outlineLevel="0" collapsed="false">
      <c r="A18" s="4" t="s">
        <v>181</v>
      </c>
      <c r="B18" s="5"/>
      <c r="C18" s="5"/>
      <c r="D18" s="5"/>
      <c r="E18" s="5"/>
      <c r="F18" s="5"/>
      <c r="G18" s="5"/>
      <c r="H18" s="5"/>
      <c r="I18" s="5"/>
      <c r="J18" s="5"/>
    </row>
    <row r="19" customFormat="false" ht="15" hidden="false" customHeight="true" outlineLevel="0" collapsed="false">
      <c r="A19" s="6" t="s">
        <v>182</v>
      </c>
      <c r="B19" s="6" t="s">
        <v>183</v>
      </c>
      <c r="C19" s="13" t="n">
        <v>19.87</v>
      </c>
      <c r="D19" s="27" t="n">
        <v>5930</v>
      </c>
      <c r="E19" s="27" t="n">
        <v>12980</v>
      </c>
      <c r="F19" s="27" t="n">
        <v>9740</v>
      </c>
      <c r="G19" s="27" t="n">
        <v>1620</v>
      </c>
      <c r="H19" s="45" t="n">
        <f aca="false">E19/F19</f>
        <v>1.33264887063655</v>
      </c>
      <c r="I19" s="45" t="n">
        <f aca="false">E19/G19</f>
        <v>8.01234567901235</v>
      </c>
      <c r="J19" s="25" t="n">
        <f aca="false">G19/F19</f>
        <v>0.166324435318275</v>
      </c>
    </row>
    <row r="20" customFormat="false" ht="15" hidden="false" customHeight="true" outlineLevel="0" collapsed="false">
      <c r="A20" s="6" t="s">
        <v>184</v>
      </c>
      <c r="B20" s="6" t="s">
        <v>185</v>
      </c>
      <c r="C20" s="13" t="n">
        <v>33.13</v>
      </c>
      <c r="D20" s="27" t="n">
        <v>17710</v>
      </c>
      <c r="E20" s="27" t="n">
        <v>30900</v>
      </c>
      <c r="F20" s="27" t="n">
        <v>18300</v>
      </c>
      <c r="G20" s="27" t="n">
        <v>3420</v>
      </c>
      <c r="H20" s="45" t="n">
        <f aca="false">E20/F20</f>
        <v>1.68852459016393</v>
      </c>
      <c r="I20" s="45" t="n">
        <f aca="false">E20/G20</f>
        <v>9.03508771929825</v>
      </c>
      <c r="J20" s="25" t="n">
        <f aca="false">G20/F20</f>
        <v>0.186885245901639</v>
      </c>
    </row>
    <row r="21" customFormat="false" ht="15" hidden="false" customHeight="true" outlineLevel="0" collapsed="false">
      <c r="A21" s="6" t="s">
        <v>186</v>
      </c>
      <c r="B21" s="6" t="s">
        <v>187</v>
      </c>
      <c r="C21" s="13" t="n">
        <v>170.83</v>
      </c>
      <c r="D21" s="27" t="n">
        <v>34320</v>
      </c>
      <c r="E21" s="27" t="n">
        <v>39460</v>
      </c>
      <c r="F21" s="27" t="n">
        <v>12160</v>
      </c>
      <c r="G21" s="27" t="n">
        <v>2720</v>
      </c>
      <c r="H21" s="45" t="n">
        <f aca="false">E21/F21</f>
        <v>3.24506578947368</v>
      </c>
      <c r="I21" s="45" t="n">
        <f aca="false">E21/G21</f>
        <v>14.5073529411765</v>
      </c>
      <c r="J21" s="25" t="n">
        <f aca="false">G21/F21</f>
        <v>0.223684210526316</v>
      </c>
    </row>
    <row r="22" customFormat="false" ht="15" hidden="false" customHeight="true" outlineLevel="0" collapsed="false">
      <c r="A22" s="6" t="s">
        <v>188</v>
      </c>
      <c r="B22" s="6" t="s">
        <v>189</v>
      </c>
      <c r="C22" s="13" t="n">
        <v>63.91</v>
      </c>
      <c r="D22" s="27" t="n">
        <v>81570</v>
      </c>
      <c r="E22" s="27" t="n">
        <v>101910</v>
      </c>
      <c r="F22" s="27" t="n">
        <v>39680</v>
      </c>
      <c r="G22" s="27" t="n">
        <v>6080</v>
      </c>
      <c r="H22" s="45" t="n">
        <f aca="false">E22/F22</f>
        <v>2.56829637096774</v>
      </c>
      <c r="I22" s="45" t="n">
        <f aca="false">E22/G22</f>
        <v>16.7615131578947</v>
      </c>
      <c r="J22" s="25" t="n">
        <f aca="false">G22/F22</f>
        <v>0.153225806451613</v>
      </c>
    </row>
    <row r="24" customFormat="false" ht="15" hidden="false" customHeight="true" outlineLevel="0" collapsed="false">
      <c r="A24" s="4" t="s">
        <v>190</v>
      </c>
      <c r="B24" s="5"/>
      <c r="C24" s="5"/>
      <c r="D24" s="5"/>
      <c r="E24" s="5"/>
      <c r="F24" s="5"/>
      <c r="G24" s="5"/>
      <c r="H24" s="5"/>
      <c r="I24" s="5"/>
      <c r="J24" s="5"/>
    </row>
    <row r="25" customFormat="false" ht="15" hidden="false" customHeight="true" outlineLevel="0" collapsed="false">
      <c r="A25" s="6" t="s">
        <v>191</v>
      </c>
      <c r="B25" s="50" t="n">
        <f aca="false">'Deal &amp; Inputs'!$B$16</f>
        <v>226.3</v>
      </c>
    </row>
    <row r="26" customFormat="false" ht="15" hidden="false" customHeight="true" outlineLevel="0" collapsed="false">
      <c r="A26" s="6" t="s">
        <v>192</v>
      </c>
      <c r="B26" s="25" t="n">
        <f aca="false">'Deal &amp; Inputs'!$B$16/1452</f>
        <v>0.155853994490358</v>
      </c>
      <c r="C26" s="3" t="s">
        <v>193</v>
      </c>
    </row>
    <row r="28" customFormat="false" ht="15" hidden="false" customHeight="true" outlineLevel="0" collapsed="false">
      <c r="A28" s="23" t="s">
        <v>194</v>
      </c>
      <c r="B28" s="24" t="s">
        <v>195</v>
      </c>
      <c r="C28" s="24" t="s">
        <v>196</v>
      </c>
    </row>
    <row r="29" customFormat="false" ht="15" hidden="false" customHeight="true" outlineLevel="0" collapsed="false">
      <c r="A29" s="6" t="s">
        <v>197</v>
      </c>
      <c r="B29" s="51" t="n">
        <v>6.5</v>
      </c>
      <c r="C29" s="51" t="n">
        <v>8.5</v>
      </c>
    </row>
    <row r="30" customFormat="false" ht="15" hidden="false" customHeight="true" outlineLevel="0" collapsed="false">
      <c r="A30" s="6" t="s">
        <v>198</v>
      </c>
      <c r="B30" s="34" t="n">
        <f aca="false">B29*$B$25</f>
        <v>1470.95</v>
      </c>
      <c r="C30" s="34" t="n">
        <f aca="false">C29*$B$25</f>
        <v>1923.55</v>
      </c>
    </row>
    <row r="31" customFormat="false" ht="15" hidden="false" customHeight="true" outlineLevel="0" collapsed="false">
      <c r="A31" s="6" t="s">
        <v>199</v>
      </c>
      <c r="B31" s="34" t="n">
        <f aca="false">B30-'Deal &amp; Inputs'!$B$14</f>
        <v>679.95</v>
      </c>
      <c r="C31" s="34" t="n">
        <f aca="false">C30-'Deal &amp; Inputs'!$B$14</f>
        <v>1132.55</v>
      </c>
    </row>
    <row r="32" customFormat="false" ht="15" hidden="false" customHeight="true" outlineLevel="0" collapsed="false">
      <c r="A32" s="17" t="s">
        <v>144</v>
      </c>
      <c r="B32" s="52" t="n">
        <f aca="false">B31/'Deal &amp; Inputs'!$B$11</f>
        <v>4.65400410677618</v>
      </c>
      <c r="C32" s="52" t="n">
        <f aca="false">C31/'Deal &amp; Inputs'!$B$11</f>
        <v>7.75188227241616</v>
      </c>
    </row>
    <row r="34" customFormat="false" ht="15" hidden="false" customHeight="true" outlineLevel="0" collapsed="false">
      <c r="A34" s="3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34"/>
    <col collapsed="false" customWidth="true" hidden="false" outlineLevel="0" max="7" min="7" style="1" width="60"/>
  </cols>
  <sheetData>
    <row r="1" customFormat="false" ht="17.25" hidden="false" customHeight="true" outlineLevel="0" collapsed="false">
      <c r="A1" s="12" t="s">
        <v>201</v>
      </c>
    </row>
    <row r="2" customFormat="false" ht="15" hidden="false" customHeight="true" outlineLevel="0" collapsed="false">
      <c r="A2" s="3" t="s">
        <v>202</v>
      </c>
    </row>
    <row r="4" customFormat="false" ht="23.25" hidden="false" customHeight="true" outlineLevel="0" collapsed="false">
      <c r="A4" s="23" t="s">
        <v>203</v>
      </c>
      <c r="B4" s="24" t="s">
        <v>204</v>
      </c>
      <c r="C4" s="24" t="s">
        <v>205</v>
      </c>
      <c r="D4" s="24" t="s">
        <v>206</v>
      </c>
      <c r="E4" s="24" t="s">
        <v>160</v>
      </c>
      <c r="F4" s="24" t="s">
        <v>207</v>
      </c>
      <c r="G4" s="24" t="s">
        <v>208</v>
      </c>
    </row>
    <row r="5" customFormat="false" ht="15" hidden="false" customHeight="true" outlineLevel="0" collapsed="false">
      <c r="A5" s="6" t="s">
        <v>209</v>
      </c>
      <c r="B5" s="6" t="s">
        <v>210</v>
      </c>
      <c r="C5" s="6" t="s">
        <v>211</v>
      </c>
      <c r="D5" s="53" t="n">
        <v>35.9</v>
      </c>
      <c r="E5" s="54" t="n">
        <v>16.4</v>
      </c>
      <c r="F5" s="3" t="s">
        <v>212</v>
      </c>
      <c r="G5" s="55" t="s">
        <v>213</v>
      </c>
    </row>
    <row r="6" customFormat="false" ht="15" hidden="false" customHeight="true" outlineLevel="0" collapsed="false">
      <c r="A6" s="6" t="s">
        <v>214</v>
      </c>
      <c r="B6" s="6" t="s">
        <v>215</v>
      </c>
      <c r="C6" s="6" t="s">
        <v>216</v>
      </c>
      <c r="D6" s="53" t="n">
        <v>5.6</v>
      </c>
      <c r="E6" s="54" t="n">
        <v>17.2</v>
      </c>
      <c r="F6" s="3" t="s">
        <v>217</v>
      </c>
      <c r="G6" s="55" t="s">
        <v>218</v>
      </c>
    </row>
    <row r="7" customFormat="false" ht="15" hidden="false" customHeight="true" outlineLevel="0" collapsed="false">
      <c r="A7" s="6" t="s">
        <v>219</v>
      </c>
      <c r="B7" s="6" t="s">
        <v>220</v>
      </c>
      <c r="C7" s="6" t="s">
        <v>221</v>
      </c>
      <c r="D7" s="53" t="n">
        <v>6.1</v>
      </c>
      <c r="E7" s="54" t="n">
        <v>19.9</v>
      </c>
      <c r="F7" s="3" t="s">
        <v>222</v>
      </c>
      <c r="G7" s="55" t="s">
        <v>223</v>
      </c>
    </row>
    <row r="8" customFormat="false" ht="15" hidden="false" customHeight="true" outlineLevel="0" collapsed="false">
      <c r="A8" s="6" t="s">
        <v>224</v>
      </c>
      <c r="B8" s="6" t="s">
        <v>225</v>
      </c>
      <c r="C8" s="6" t="s">
        <v>226</v>
      </c>
      <c r="D8" s="53" t="n">
        <v>3.1</v>
      </c>
      <c r="E8" s="45" t="n">
        <f aca="false">D8*1000/(275+134-161)</f>
        <v>12.5</v>
      </c>
      <c r="F8" s="3" t="s">
        <v>227</v>
      </c>
      <c r="G8" s="55" t="s">
        <v>228</v>
      </c>
    </row>
    <row r="9" customFormat="false" ht="15" hidden="false" customHeight="true" outlineLevel="0" collapsed="false">
      <c r="A9" s="6" t="s">
        <v>229</v>
      </c>
      <c r="B9" s="6" t="s">
        <v>230</v>
      </c>
      <c r="C9" s="6" t="s">
        <v>231</v>
      </c>
      <c r="D9" s="53" t="n">
        <v>2.9</v>
      </c>
      <c r="E9" s="45" t="n">
        <f aca="false">D9*1000/(337.4+222.4-219.1)</f>
        <v>8.51188729087174</v>
      </c>
      <c r="F9" s="3" t="s">
        <v>232</v>
      </c>
      <c r="G9" s="55" t="s">
        <v>233</v>
      </c>
    </row>
    <row r="10" customFormat="false" ht="15" hidden="false" customHeight="true" outlineLevel="0" collapsed="false">
      <c r="A10" s="17" t="s">
        <v>177</v>
      </c>
      <c r="E10" s="46" t="n">
        <f aca="false">MEDIAN(E5:E9)</f>
        <v>16.4</v>
      </c>
    </row>
    <row r="11" customFormat="false" ht="15" hidden="false" customHeight="true" outlineLevel="0" collapsed="false">
      <c r="A11" s="17" t="s">
        <v>180</v>
      </c>
      <c r="E11" s="48" t="n">
        <f aca="false">AVERAGE(E5:E9)</f>
        <v>14.9023774581743</v>
      </c>
    </row>
    <row r="12" customFormat="false" ht="15" hidden="false" customHeight="true" outlineLevel="0" collapsed="false">
      <c r="A12" s="17" t="s">
        <v>195</v>
      </c>
      <c r="E12" s="48" t="n">
        <f aca="false">MIN(E5:E9)</f>
        <v>8.51188729087174</v>
      </c>
    </row>
    <row r="13" customFormat="false" ht="15" hidden="false" customHeight="true" outlineLevel="0" collapsed="false">
      <c r="A13" s="17" t="s">
        <v>196</v>
      </c>
      <c r="E13" s="48" t="n">
        <f aca="false">MAX(E5:E9)</f>
        <v>19.9</v>
      </c>
    </row>
    <row r="15" customFormat="false" ht="15" hidden="false" customHeight="true" outlineLevel="0" collapsed="false">
      <c r="A15" s="3" t="s">
        <v>234</v>
      </c>
    </row>
    <row r="16" customFormat="false" ht="15" hidden="false" customHeight="true" outlineLevel="0" collapsed="false">
      <c r="A16" s="3" t="s">
        <v>235</v>
      </c>
    </row>
    <row r="17" customFormat="false" ht="15" hidden="false" customHeight="true" outlineLevel="0" collapsed="false">
      <c r="A17" s="3" t="s">
        <v>236</v>
      </c>
    </row>
    <row r="18" customFormat="false" ht="15" hidden="false" customHeight="true" outlineLevel="0" collapsed="false">
      <c r="A18" s="3" t="s">
        <v>237</v>
      </c>
    </row>
    <row r="20" customFormat="false" ht="15" hidden="false" customHeight="true" outlineLevel="0" collapsed="false">
      <c r="A20" s="4" t="s">
        <v>190</v>
      </c>
      <c r="B20" s="5"/>
      <c r="C20" s="5"/>
      <c r="D20" s="5"/>
      <c r="E20" s="5"/>
      <c r="F20" s="5"/>
      <c r="G20" s="5"/>
    </row>
    <row r="21" customFormat="false" ht="15" hidden="false" customHeight="true" outlineLevel="0" collapsed="false">
      <c r="A21" s="23" t="s">
        <v>194</v>
      </c>
      <c r="B21" s="24" t="s">
        <v>195</v>
      </c>
      <c r="C21" s="24" t="s">
        <v>196</v>
      </c>
    </row>
    <row r="22" customFormat="false" ht="15" hidden="false" customHeight="true" outlineLevel="0" collapsed="false">
      <c r="A22" s="6" t="s">
        <v>238</v>
      </c>
      <c r="B22" s="51" t="n">
        <v>10.5</v>
      </c>
      <c r="C22" s="51" t="n">
        <v>13.5</v>
      </c>
    </row>
    <row r="23" customFormat="false" ht="15" hidden="false" customHeight="true" outlineLevel="0" collapsed="false">
      <c r="A23" s="6" t="s">
        <v>198</v>
      </c>
      <c r="B23" s="34" t="n">
        <f aca="false">B22*'Deal &amp; Inputs'!$B$16</f>
        <v>2376.15</v>
      </c>
      <c r="C23" s="34" t="n">
        <f aca="false">C22*'Deal &amp; Inputs'!$B$16</f>
        <v>3055.05</v>
      </c>
    </row>
    <row r="24" customFormat="false" ht="15" hidden="false" customHeight="true" outlineLevel="0" collapsed="false">
      <c r="A24" s="6" t="s">
        <v>199</v>
      </c>
      <c r="B24" s="34" t="n">
        <f aca="false">B23-'Deal &amp; Inputs'!$B$14</f>
        <v>1585.15</v>
      </c>
      <c r="C24" s="34" t="n">
        <f aca="false">C23-'Deal &amp; Inputs'!$B$14</f>
        <v>2264.05</v>
      </c>
    </row>
    <row r="25" customFormat="false" ht="15" hidden="false" customHeight="true" outlineLevel="0" collapsed="false">
      <c r="A25" s="17" t="s">
        <v>144</v>
      </c>
      <c r="B25" s="52" t="n">
        <f aca="false">B24/'Deal &amp; Inputs'!$B$11</f>
        <v>10.8497604380561</v>
      </c>
      <c r="C25" s="52" t="n">
        <f aca="false">C24/'Deal &amp; Inputs'!$B$11</f>
        <v>15.4965776865161</v>
      </c>
    </row>
  </sheetData>
  <hyperlinks>
    <hyperlink ref="G5" r:id="rId1" display="https://www.nasdaq.com/press-release/mars-acquire-kellanova-2024-08-14"/>
    <hyperlink ref="G6" r:id="rId2" display="https://www.preparedfoods.com/articles/128505-the-j-m-smucker-co-to-acquire-hostess-brands"/>
    <hyperlink ref="G7" r:id="rId3" display="https://www.sec.gov/Archives/edgar/data/0000016732/000095015917000274/ex99-1.htm"/>
    <hyperlink ref="G8" r:id="rId4" display="https://www.nasdaq.com/press-release/ferrero-acquire-wk-kellogg-co-2025-07-10"/>
    <hyperlink ref="G9" r:id="rId5" display="https://www.treehousefoods.com/news-and-media/press-release-details/2025/TreeHouse-Foods-Inc--Reports-Third-Quarter-2025-Results/default.asp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7" min="2" style="1" width="12"/>
    <col collapsed="false" customWidth="true" hidden="false" outlineLevel="0" max="8" min="8" style="1" width="62"/>
  </cols>
  <sheetData>
    <row r="1" customFormat="false" ht="17.25" hidden="false" customHeight="true" outlineLevel="0" collapsed="false">
      <c r="A1" s="12" t="s">
        <v>239</v>
      </c>
    </row>
    <row r="2" customFormat="false" ht="15" hidden="false" customHeight="true" outlineLevel="0" collapsed="false">
      <c r="A2" s="3" t="s">
        <v>240</v>
      </c>
    </row>
    <row r="4" customFormat="false" ht="23.25" hidden="false" customHeight="true" outlineLevel="0" collapsed="false">
      <c r="A4" s="23" t="s">
        <v>241</v>
      </c>
      <c r="B4" s="24" t="s">
        <v>195</v>
      </c>
      <c r="C4" s="24" t="s">
        <v>196</v>
      </c>
      <c r="D4" s="24" t="s">
        <v>242</v>
      </c>
      <c r="E4" s="24" t="s">
        <v>243</v>
      </c>
      <c r="F4" s="24" t="s">
        <v>244</v>
      </c>
      <c r="G4" s="24" t="s">
        <v>245</v>
      </c>
      <c r="H4" s="24" t="s">
        <v>207</v>
      </c>
    </row>
    <row r="5" customFormat="false" ht="15" hidden="false" customHeight="true" outlineLevel="0" collapsed="false">
      <c r="A5" s="17" t="s">
        <v>246</v>
      </c>
      <c r="B5" s="40" t="n">
        <f aca="false">MIN(DCF!B79:D81)</f>
        <v>9.77781705583058</v>
      </c>
      <c r="C5" s="40" t="n">
        <f aca="false">MAX(DCF!B79:D81)</f>
        <v>15.1818419291474</v>
      </c>
      <c r="D5" s="44" t="n">
        <f aca="false">DCF!C80</f>
        <v>12.0365408629135</v>
      </c>
      <c r="E5" s="25" t="n">
        <f aca="false">'Deal &amp; Inputs'!$B$4/D5-1</f>
        <v>0.183894954729601</v>
      </c>
      <c r="F5" s="13" t="n">
        <v>10.6</v>
      </c>
      <c r="G5" s="13" t="n">
        <v>14.8</v>
      </c>
      <c r="H5" s="3" t="s">
        <v>247</v>
      </c>
    </row>
    <row r="6" customFormat="false" ht="15" hidden="false" customHeight="true" outlineLevel="0" collapsed="false">
      <c r="A6" s="6" t="s">
        <v>248</v>
      </c>
      <c r="B6" s="13" t="n">
        <v>7.6341</v>
      </c>
      <c r="C6" s="13" t="n">
        <v>12.1859</v>
      </c>
      <c r="D6" s="13" t="n">
        <v>9.5369</v>
      </c>
      <c r="E6" s="25" t="n">
        <f aca="false">'Deal &amp; Inputs'!$B$4/D6-1</f>
        <v>0.494196227285596</v>
      </c>
      <c r="H6" s="3" t="s">
        <v>249</v>
      </c>
    </row>
    <row r="7" customFormat="false" ht="15" hidden="false" customHeight="true" outlineLevel="0" collapsed="false">
      <c r="A7" s="6" t="s">
        <v>250</v>
      </c>
      <c r="B7" s="40" t="n">
        <f aca="false">'Trading Comps'!B32</f>
        <v>4.65400410677618</v>
      </c>
      <c r="C7" s="40" t="n">
        <f aca="false">'Trading Comps'!C32</f>
        <v>7.75188227241616</v>
      </c>
      <c r="D7" s="44" t="n">
        <f aca="false">AVERAGE(B7:C7)</f>
        <v>6.20294318959617</v>
      </c>
      <c r="E7" s="25" t="n">
        <f aca="false">'Deal &amp; Inputs'!$B$4/D7-1</f>
        <v>1.29729655172414</v>
      </c>
      <c r="F7" s="13" t="n">
        <v>5.7</v>
      </c>
      <c r="G7" s="13" t="n">
        <v>9</v>
      </c>
      <c r="H7" s="3" t="s">
        <v>251</v>
      </c>
    </row>
    <row r="8" customFormat="false" ht="15" hidden="false" customHeight="true" outlineLevel="0" collapsed="false">
      <c r="A8" s="6" t="s">
        <v>252</v>
      </c>
      <c r="B8" s="40" t="n">
        <f aca="false">'Precedent Transactions'!B25</f>
        <v>10.8497604380561</v>
      </c>
      <c r="C8" s="40" t="n">
        <f aca="false">'Precedent Transactions'!C25</f>
        <v>15.4965776865161</v>
      </c>
      <c r="D8" s="44" t="n">
        <f aca="false">AVERAGE(B8:C8)</f>
        <v>13.1731690622861</v>
      </c>
      <c r="E8" s="25" t="n">
        <f aca="false">'Deal &amp; Inputs'!$B$4/D8-1</f>
        <v>0.0817442585472306</v>
      </c>
      <c r="F8" s="13" t="n">
        <v>10.15</v>
      </c>
      <c r="G8" s="13" t="n">
        <v>13.15</v>
      </c>
      <c r="H8" s="3" t="s">
        <v>253</v>
      </c>
    </row>
    <row r="9" customFormat="false" ht="15" hidden="false" customHeight="true" outlineLevel="0" collapsed="false">
      <c r="A9" s="6" t="s">
        <v>254</v>
      </c>
      <c r="B9" s="40" t="n">
        <f aca="false">'Deal &amp; Inputs'!$B$5*1.3</f>
        <v>9.698</v>
      </c>
      <c r="C9" s="40" t="n">
        <f aca="false">'Deal &amp; Inputs'!$B$5*1.5</f>
        <v>11.19</v>
      </c>
      <c r="D9" s="44" t="n">
        <f aca="false">AVERAGE(B9:C9)</f>
        <v>10.444</v>
      </c>
      <c r="E9" s="25" t="n">
        <f aca="false">'Deal &amp; Inputs'!$B$4/D9-1</f>
        <v>0.364419762543087</v>
      </c>
      <c r="F9" s="13" t="n">
        <v>9.35</v>
      </c>
      <c r="G9" s="13" t="n">
        <v>10.8</v>
      </c>
      <c r="H9" s="3" t="s">
        <v>255</v>
      </c>
    </row>
    <row r="10" customFormat="false" ht="15" hidden="false" customHeight="true" outlineLevel="0" collapsed="false">
      <c r="A10" s="6" t="s">
        <v>256</v>
      </c>
      <c r="B10" s="40" t="n">
        <f aca="false">'Deal &amp; Inputs'!$B$9</f>
        <v>7.12</v>
      </c>
      <c r="C10" s="40" t="n">
        <f aca="false">'Deal &amp; Inputs'!$B$8</f>
        <v>14.67</v>
      </c>
      <c r="D10" s="44" t="n">
        <f aca="false">AVERAGE(B10:C10)</f>
        <v>10.895</v>
      </c>
      <c r="E10" s="25" t="n">
        <f aca="false">'Deal &amp; Inputs'!$B$4/D10-1</f>
        <v>0.307939421753098</v>
      </c>
      <c r="H10" s="3" t="s">
        <v>257</v>
      </c>
    </row>
    <row r="12" customFormat="false" ht="15" hidden="false" customHeight="true" outlineLevel="0" collapsed="false">
      <c r="A12" s="17" t="s">
        <v>145</v>
      </c>
      <c r="B12" s="56" t="n">
        <f aca="false">'Deal &amp; Inputs'!$B$4</f>
        <v>14.25</v>
      </c>
    </row>
    <row r="13" customFormat="false" ht="15" hidden="false" customHeight="true" outlineLevel="0" collapsed="false">
      <c r="A13" s="6" t="s">
        <v>258</v>
      </c>
      <c r="B13" s="40" t="n">
        <f aca="false">'Deal &amp; Inputs'!$B$5</f>
        <v>7.46</v>
      </c>
    </row>
    <row r="15" customFormat="false" ht="15" hidden="false" customHeight="true" outlineLevel="0" collapsed="false">
      <c r="A15" s="3" t="s">
        <v>259</v>
      </c>
    </row>
    <row r="16" customFormat="false" ht="15" hidden="false" customHeight="true" outlineLevel="0" collapsed="false">
      <c r="A16" s="3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  <col collapsed="false" customWidth="true" hidden="false" outlineLevel="0" max="2" min="2" style="1" width="120"/>
  </cols>
  <sheetData>
    <row r="1" customFormat="false" ht="17.25" hidden="false" customHeight="true" outlineLevel="0" collapsed="false">
      <c r="A1" s="12" t="s">
        <v>261</v>
      </c>
    </row>
    <row r="3" customFormat="false" ht="15" hidden="false" customHeight="true" outlineLevel="0" collapsed="false">
      <c r="A3" s="6" t="s">
        <v>262</v>
      </c>
      <c r="B3" s="57" t="s">
        <v>263</v>
      </c>
    </row>
    <row r="4" customFormat="false" ht="15" hidden="false" customHeight="true" outlineLevel="0" collapsed="false">
      <c r="A4" s="6" t="s">
        <v>264</v>
      </c>
      <c r="B4" s="57" t="s">
        <v>265</v>
      </c>
    </row>
    <row r="5" customFormat="false" ht="15" hidden="false" customHeight="true" outlineLevel="0" collapsed="false">
      <c r="A5" s="6" t="s">
        <v>266</v>
      </c>
      <c r="B5" s="57" t="s">
        <v>267</v>
      </c>
    </row>
    <row r="6" customFormat="false" ht="15" hidden="false" customHeight="true" outlineLevel="0" collapsed="false">
      <c r="A6" s="6" t="s">
        <v>268</v>
      </c>
      <c r="B6" s="57" t="s">
        <v>269</v>
      </c>
    </row>
    <row r="7" customFormat="false" ht="15" hidden="false" customHeight="true" outlineLevel="0" collapsed="false">
      <c r="A7" s="6" t="s">
        <v>270</v>
      </c>
      <c r="B7" s="57" t="s">
        <v>271</v>
      </c>
    </row>
    <row r="8" customFormat="false" ht="15" hidden="false" customHeight="true" outlineLevel="0" collapsed="false">
      <c r="A8" s="6" t="s">
        <v>272</v>
      </c>
      <c r="B8" s="57" t="s">
        <v>273</v>
      </c>
    </row>
    <row r="9" customFormat="false" ht="15" hidden="false" customHeight="true" outlineLevel="0" collapsed="false">
      <c r="A9" s="6" t="s">
        <v>274</v>
      </c>
      <c r="B9" s="57" t="s">
        <v>275</v>
      </c>
    </row>
    <row r="10" customFormat="false" ht="15" hidden="false" customHeight="true" outlineLevel="0" collapsed="false">
      <c r="A10" s="6" t="s">
        <v>276</v>
      </c>
      <c r="B10" s="57" t="s">
        <v>277</v>
      </c>
    </row>
    <row r="11" customFormat="false" ht="15" hidden="false" customHeight="true" outlineLevel="0" collapsed="false">
      <c r="A11" s="6" t="s">
        <v>278</v>
      </c>
      <c r="B11" s="57" t="s">
        <v>213</v>
      </c>
    </row>
    <row r="12" customFormat="false" ht="15" hidden="false" customHeight="true" outlineLevel="0" collapsed="false">
      <c r="A12" s="6" t="s">
        <v>279</v>
      </c>
      <c r="B12" s="57" t="s">
        <v>218</v>
      </c>
    </row>
    <row r="13" customFormat="false" ht="15" hidden="false" customHeight="true" outlineLevel="0" collapsed="false">
      <c r="A13" s="6" t="s">
        <v>280</v>
      </c>
      <c r="B13" s="57" t="s">
        <v>223</v>
      </c>
    </row>
    <row r="14" customFormat="false" ht="15" hidden="false" customHeight="true" outlineLevel="0" collapsed="false">
      <c r="A14" s="6" t="s">
        <v>281</v>
      </c>
      <c r="B14" s="57" t="s">
        <v>228</v>
      </c>
    </row>
    <row r="15" customFormat="false" ht="15" hidden="false" customHeight="true" outlineLevel="0" collapsed="false">
      <c r="A15" s="6" t="s">
        <v>282</v>
      </c>
      <c r="B15" s="57" t="s">
        <v>283</v>
      </c>
    </row>
    <row r="16" customFormat="false" ht="15" hidden="false" customHeight="true" outlineLevel="0" collapsed="false">
      <c r="A16" s="6" t="s">
        <v>284</v>
      </c>
      <c r="B16" s="57" t="s">
        <v>233</v>
      </c>
    </row>
  </sheetData>
  <hyperlinks>
    <hyperlink ref="B3" r:id="rId1" display="https://www.sec.gov/Archives/edgar/data/0001739566/000162828026052888/pressrelease-2026q2earning.htm"/>
    <hyperlink ref="B4" r:id="rId2" display="https://www.sec.gov/Archives/edgar/data/1739566/000162828026007457/pressrelease-2025q4earning.htm"/>
    <hyperlink ref="B5" r:id="rId3" display="https://investors.utzsnacks.com/news/news-details/2026/Utz-Brands-Inc--and-Intersnack-Group-GmbH--Co--KG-Announce-Agreement-to-Take-Utz-Private-and-Partnership-with-Founding-Family/default.aspx"/>
    <hyperlink ref="B6" r:id="rId4" display="https://www.sec.gov/Archives/edgar/data/1739566/000119312526362085/d75151dex9916cxx.htm"/>
    <hyperlink ref="B7" r:id="rId5" display="https://www.sec.gov/Archives/edgar/data/1739566/000119312526362085/d75151dex9916cxxi.htm"/>
    <hyperlink ref="B8" r:id="rId6" display="https://forfairnesssake.substack.com/p/for-fairness-sake-utz-to-be-acquired"/>
    <hyperlink ref="B9" r:id="rId7" display="https://ycharts.com/indicators/10_year_treasury_rate_weekly"/>
    <hyperlink ref="B10" r:id="rId8" display="https://stockanalysis.com/stocks/"/>
    <hyperlink ref="B11" r:id="rId9" display="https://www.nasdaq.com/press-release/mars-acquire-kellanova-2024-08-14"/>
    <hyperlink ref="B12" r:id="rId10" display="https://www.preparedfoods.com/articles/128505-the-j-m-smucker-co-to-acquire-hostess-brands"/>
    <hyperlink ref="B13" r:id="rId11" display="https://www.sec.gov/Archives/edgar/data/0000016732/000095015917000274/ex99-1.htm"/>
    <hyperlink ref="B14" r:id="rId12" display="https://www.nasdaq.com/press-release/ferrero-acquire-wk-kellogg-co-2025-07-10"/>
    <hyperlink ref="B15" r:id="rId13" display="https://www.sec.gov/Archives/edgar/data/1959348/000162828025004776/klg-2024q4exhibit991.htm"/>
    <hyperlink ref="B16" r:id="rId14" display="https://www.treehousefoods.com/news-and-media/press-release-details/2025/TreeHouse-Foods-Inc--Reports-Third-Quarter-2025-Results/default.asp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2026-10-19T13:02:14Z</dcterms:created>
  <dc:creator>openpyxl</dc:creator>
  <dc:description/>
  <dc:language>en-US</dc:language>
  <cp:lastModifiedBy/>
  <dcterms:modified xsi:type="dcterms:W3CDTF">2026-10-19T13:03:28Z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